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4.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drawings/drawing5.xml" ContentType="application/vnd.openxmlformats-officedocument.drawing+xml"/>
  <Override PartName="/xl/drawings/drawing4.xml" ContentType="application/vnd.openxmlformats-officedocument.drawing+xml"/>
  <Override PartName="/xl/drawings/drawing3.xml" ContentType="application/vnd.openxmlformats-officedocument.drawing+xml"/>
  <Override PartName="/xl/worksheets/sheet2.xml" ContentType="application/vnd.openxmlformats-officedocument.spreadsheetml.worksheet+xml"/>
  <Override PartName="/xl/worksheets/sheet1.xml" ContentType="application/vnd.openxmlformats-officedocument.spreadsheetml.worksheet+xml"/>
  <Override PartName="/xl/drawings/drawing1.xml" ContentType="application/vnd.openxmlformats-officedocument.drawing+xml"/>
  <Override PartName="/xl/sharedStrings.xml" ContentType="application/vnd.openxmlformats-officedocument.spreadsheetml.sharedStrings+xml"/>
  <Override PartName="/xl/drawings/drawing2.xml" ContentType="application/vnd.openxmlformats-officedocument.drawing+xml"/>
  <Override PartName="/xl/theme/theme1.xml" ContentType="application/vnd.openxmlformats-officedocument.theme+xml"/>
  <Override PartName="/xl/styles.xml" ContentType="application/vnd.openxmlformats-officedocument.spreadsheetml.styles+xml"/>
  <Override PartName="/xl/worksheets/sheet9.xml" ContentType="application/vnd.openxmlformats-officedocument.spreadsheetml.worksheet+xml"/>
  <Override PartName="/xl/worksheets/sheet6.xml" ContentType="application/vnd.openxmlformats-officedocument.spreadsheetml.worksheet+xml"/>
  <Override PartName="/xl/worksheets/sheet5.xml" ContentType="application/vnd.openxmlformats-officedocument.spreadsheetml.worksheet+xml"/>
  <Override PartName="/xl/worksheets/sheet8.xml" ContentType="application/vnd.openxmlformats-officedocument.spreadsheetml.worksheet+xml"/>
  <Override PartName="/xl/worksheets/sheet7.xml" ContentType="application/vnd.openxmlformats-officedocument.spreadsheetml.worksheet+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4.xml" ContentType="application/vnd.ms-excel.controlproperties+xml"/>
  <Override PartName="/xl/comments2.xml" ContentType="application/vnd.openxmlformats-officedocument.spreadsheetml.comments+xml"/>
  <Override PartName="/xl/comments4.xml" ContentType="application/vnd.openxmlformats-officedocument.spreadsheetml.comments+xml"/>
  <Override PartName="/xl/ctrlProps/ctrlProp48.xml" ContentType="application/vnd.ms-excel.controlproperties+xml"/>
  <Override PartName="/xl/ctrlProps/ctrlProp52.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5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3.xml" ContentType="application/vnd.ms-excel.controlproperties+xml"/>
  <Override PartName="/xl/ctrlProps/ctrlProp64.xml" ContentType="application/vnd.ms-excel.controlproperties+xml"/>
  <Override PartName="/xl/ctrlProps/ctrlProp60.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comments1.xml" ContentType="application/vnd.openxmlformats-officedocument.spreadsheetml.comments+xml"/>
  <Override PartName="/xl/ctrlProps/ctrlProp71.xml" ContentType="application/vnd.ms-excel.controlproperties+xml"/>
  <Override PartName="/xl/ctrlProps/ctrlProp70.xml" ContentType="application/vnd.ms-excel.controlproperties+xml"/>
  <Override PartName="/xl/ctrlProps/ctrlProp69.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59.xml" ContentType="application/vnd.ms-excel.controlproperties+xml"/>
  <Override PartName="/xl/comments3.xml" ContentType="application/vnd.openxmlformats-officedocument.spreadsheetml.comments+xml"/>
  <Override PartName="/xl/ctrlProps/ctrlProp45.xml" ContentType="application/vnd.ms-excel.controlproperties+xml"/>
  <Override PartName="/xl/ctrlProps/ctrlProp14.xml" ContentType="application/vnd.ms-excel.controlproperties+xml"/>
  <Override PartName="/xl/ctrlProps/ctrlProp13.xml" ContentType="application/vnd.ms-excel.controlproperties+xml"/>
  <Override PartName="/xl/ctrlProps/ctrlProp12.xml" ContentType="application/vnd.ms-excel.controlproperties+xml"/>
  <Override PartName="/xl/ctrlProps/ctrlProp11.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10.xml" ContentType="application/vnd.ms-excel.controlproperties+xml"/>
  <Override PartName="/xl/ctrlProps/ctrlProp9.xml" ContentType="application/vnd.ms-excel.controlproperties+xml"/>
  <Override PartName="/xl/ctrlProps/ctrlProp8.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1.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35.xml" ContentType="application/vnd.ms-excel.controlproperties+xml"/>
  <Override PartName="/xl/ctrlProps/ctrlProp34.xml" ContentType="application/vnd.ms-excel.controlproperties+xml"/>
  <Override PartName="/xl/ctrlProps/ctrlProp3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0" windowWidth="20580" windowHeight="11640" tabRatio="840" firstSheet="5" activeTab="5"/>
  </bookViews>
  <sheets>
    <sheet name="Systeem" sheetId="3" state="veryHidden" r:id="rId1"/>
    <sheet name="SjabloonVoorblad" sheetId="88" state="veryHidden" r:id="rId2"/>
    <sheet name="SjabloonWerkproces" sheetId="27" state="veryHidden" r:id="rId3"/>
    <sheet name="KerntakenEnWerkprocessen" sheetId="1" state="veryHidden" r:id="rId4"/>
    <sheet name="Beheersingsniveaus" sheetId="2" state="veryHidden" r:id="rId5"/>
    <sheet name="Voorblad" sheetId="93" r:id="rId6"/>
    <sheet name="B1-K3-W1" sheetId="94" r:id="rId7"/>
    <sheet name="B1-K3-W2" sheetId="95" r:id="rId8"/>
    <sheet name="B1-K3-W3" sheetId="96" r:id="rId9"/>
  </sheets>
  <functionGroups builtInGroupCount="17"/>
  <definedNames>
    <definedName name="_xlnm.Print_Area" localSheetId="6">'B1-K3-W1'!$B:$G</definedName>
    <definedName name="_xlnm.Print_Area" localSheetId="7">'B1-K3-W2'!$B:$G</definedName>
    <definedName name="_xlnm.Print_Area" localSheetId="8">'B1-K3-W3'!$B:$G</definedName>
    <definedName name="_xlnm.Print_Area" localSheetId="1">SjabloonVoorblad!$A:$C</definedName>
    <definedName name="_xlnm.Print_Area" localSheetId="2">SjabloonWerkproces!$B:$G</definedName>
    <definedName name="_xlnm.Print_Area" localSheetId="5">Voorblad!$A:$C</definedName>
    <definedName name="beheersingsniveaus">Beheersingsniveaus!$A$4:$K$104</definedName>
    <definedName name="copyrightText">Systeem!$C$17</definedName>
    <definedName name="debug">Systeem!$B$7</definedName>
    <definedName name="examencode">KerntakenEnWerkprocessen!$C$7</definedName>
    <definedName name="ja">Systeem!$B$3</definedName>
    <definedName name="kerntaakCode">KerntakenEnWerkprocessen!$B$5</definedName>
    <definedName name="kerntaakNaam">KerntakenEnWerkprocessen!$C$5</definedName>
    <definedName name="layoutGreyedOut">Systeem!$C$15</definedName>
    <definedName name="nee">Systeem!$B$4</definedName>
    <definedName name="OLE_LINK1" localSheetId="3">KerntakenEnWerkprocessen!$C$14</definedName>
    <definedName name="showHandtekeningKandidaat">KerntakenEnWerkprocessen!$D$29</definedName>
    <definedName name="werkprocessen">KerntakenEnWerkprocessen!$B$13:$C$27</definedName>
  </definedNames>
  <calcPr calcId="14562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42" i="96" l="1"/>
  <c r="D41" i="96"/>
  <c r="D40" i="96"/>
  <c r="D39" i="96"/>
  <c r="D38" i="96"/>
  <c r="D37" i="96"/>
  <c r="D36" i="96"/>
  <c r="D35" i="96"/>
  <c r="D34" i="96"/>
  <c r="D33" i="96"/>
  <c r="D32" i="96"/>
  <c r="H27" i="96"/>
  <c r="C27" i="96" s="1"/>
  <c r="O27" i="96"/>
  <c r="M27" i="96"/>
  <c r="E27" i="96"/>
  <c r="D27" i="96"/>
  <c r="B27" i="96"/>
  <c r="H26" i="96"/>
  <c r="C26" i="96" s="1"/>
  <c r="O26" i="96"/>
  <c r="D4" i="96" s="1"/>
  <c r="M26" i="96"/>
  <c r="G26" i="96"/>
  <c r="F26" i="96"/>
  <c r="E26" i="96"/>
  <c r="D26" i="96"/>
  <c r="N26" i="96" s="1"/>
  <c r="B26" i="96"/>
  <c r="H25" i="96"/>
  <c r="C25" i="96" s="1"/>
  <c r="O25" i="96"/>
  <c r="M25" i="96"/>
  <c r="G25" i="96"/>
  <c r="F25" i="96"/>
  <c r="E25" i="96"/>
  <c r="D25" i="96"/>
  <c r="B25" i="96"/>
  <c r="H24" i="96"/>
  <c r="C24" i="96" s="1"/>
  <c r="O24" i="96"/>
  <c r="M24" i="96"/>
  <c r="G24" i="96"/>
  <c r="F24" i="96"/>
  <c r="E24" i="96"/>
  <c r="D24" i="96"/>
  <c r="B24" i="96"/>
  <c r="H22" i="96"/>
  <c r="B10" i="96"/>
  <c r="B5" i="96"/>
  <c r="B3" i="96"/>
  <c r="B2" i="96"/>
  <c r="C1" i="96"/>
  <c r="B11" i="96" s="1"/>
  <c r="D40" i="95"/>
  <c r="D39" i="95"/>
  <c r="D38" i="95"/>
  <c r="D37" i="95"/>
  <c r="D36" i="95"/>
  <c r="D35" i="95"/>
  <c r="D34" i="95"/>
  <c r="D33" i="95"/>
  <c r="D32" i="95"/>
  <c r="H27" i="95"/>
  <c r="C27" i="95" s="1"/>
  <c r="O27" i="95"/>
  <c r="M27" i="95"/>
  <c r="G27" i="95"/>
  <c r="F27" i="95"/>
  <c r="E27" i="95"/>
  <c r="D27" i="95"/>
  <c r="B27" i="95"/>
  <c r="H26" i="95"/>
  <c r="C26" i="95" s="1"/>
  <c r="O26" i="95"/>
  <c r="M26" i="95"/>
  <c r="G26" i="95"/>
  <c r="F26" i="95"/>
  <c r="E26" i="95"/>
  <c r="D26" i="95"/>
  <c r="B26" i="95"/>
  <c r="H25" i="95"/>
  <c r="C25" i="95" s="1"/>
  <c r="O25" i="95"/>
  <c r="M25" i="95"/>
  <c r="E25" i="95"/>
  <c r="D25" i="95"/>
  <c r="B25" i="95"/>
  <c r="H24" i="95"/>
  <c r="C24" i="95" s="1"/>
  <c r="O24" i="95"/>
  <c r="M24" i="95"/>
  <c r="E24" i="95"/>
  <c r="D24" i="95"/>
  <c r="N24" i="95" s="1"/>
  <c r="B24" i="95"/>
  <c r="H22" i="95"/>
  <c r="B10" i="95"/>
  <c r="B5" i="95"/>
  <c r="D4" i="95"/>
  <c r="B3" i="95"/>
  <c r="B2" i="95"/>
  <c r="C1" i="95"/>
  <c r="B11" i="95" s="1"/>
  <c r="D78" i="94"/>
  <c r="D77" i="94"/>
  <c r="D76" i="94"/>
  <c r="D75" i="94"/>
  <c r="D74" i="94"/>
  <c r="D73" i="94"/>
  <c r="D72" i="94"/>
  <c r="D71" i="94"/>
  <c r="D70" i="94"/>
  <c r="D69" i="94"/>
  <c r="D68" i="94"/>
  <c r="D67" i="94"/>
  <c r="D66" i="94"/>
  <c r="D65" i="94"/>
  <c r="D64" i="94"/>
  <c r="D63" i="94"/>
  <c r="D62" i="94"/>
  <c r="D61" i="94"/>
  <c r="D60" i="94"/>
  <c r="D59" i="94"/>
  <c r="D58" i="94"/>
  <c r="D57" i="94"/>
  <c r="D56" i="94"/>
  <c r="D55" i="94"/>
  <c r="D54" i="94"/>
  <c r="D53" i="94"/>
  <c r="J44" i="94"/>
  <c r="H44" i="94" s="1"/>
  <c r="B44" i="94"/>
  <c r="J43" i="94"/>
  <c r="H43" i="94" s="1"/>
  <c r="B43" i="94"/>
  <c r="J42" i="94"/>
  <c r="H42" i="94" s="1"/>
  <c r="B42" i="94"/>
  <c r="H36" i="94"/>
  <c r="C36" i="94" s="1"/>
  <c r="O36" i="94"/>
  <c r="M36" i="94"/>
  <c r="E36" i="94"/>
  <c r="N36" i="94" s="1"/>
  <c r="D36" i="94"/>
  <c r="B36" i="94"/>
  <c r="H35" i="94"/>
  <c r="C35" i="94" s="1"/>
  <c r="O35" i="94"/>
  <c r="M35" i="94"/>
  <c r="G35" i="94"/>
  <c r="F35" i="94"/>
  <c r="E35" i="94"/>
  <c r="D35" i="94"/>
  <c r="B35" i="94"/>
  <c r="H34" i="94"/>
  <c r="C34" i="94" s="1"/>
  <c r="O34" i="94"/>
  <c r="M34" i="94"/>
  <c r="G34" i="94"/>
  <c r="F34" i="94"/>
  <c r="E34" i="94"/>
  <c r="D34" i="94"/>
  <c r="B34" i="94"/>
  <c r="H33" i="94"/>
  <c r="O33" i="94"/>
  <c r="M33" i="94"/>
  <c r="G33" i="94"/>
  <c r="F33" i="94"/>
  <c r="E33" i="94"/>
  <c r="D33" i="94"/>
  <c r="C33" i="94"/>
  <c r="B33" i="94"/>
  <c r="H32" i="94"/>
  <c r="C32" i="94" s="1"/>
  <c r="O32" i="94"/>
  <c r="M32" i="94"/>
  <c r="G32" i="94"/>
  <c r="F32" i="94"/>
  <c r="E32" i="94"/>
  <c r="D32" i="94"/>
  <c r="N32" i="94" s="1"/>
  <c r="B32" i="94"/>
  <c r="H31" i="94"/>
  <c r="C31" i="94" s="1"/>
  <c r="O31" i="94"/>
  <c r="D4" i="94" s="1"/>
  <c r="M31" i="94"/>
  <c r="G31" i="94"/>
  <c r="F31" i="94"/>
  <c r="E31" i="94"/>
  <c r="D31" i="94"/>
  <c r="B31" i="94"/>
  <c r="H29" i="94"/>
  <c r="H26" i="94"/>
  <c r="C26" i="94" s="1"/>
  <c r="O26" i="94"/>
  <c r="M26" i="94"/>
  <c r="G26" i="94"/>
  <c r="F26" i="94"/>
  <c r="E26" i="94"/>
  <c r="D26" i="94"/>
  <c r="B26" i="94"/>
  <c r="H25" i="94"/>
  <c r="C25" i="94" s="1"/>
  <c r="O25" i="94"/>
  <c r="M25" i="94"/>
  <c r="G25" i="94"/>
  <c r="F25" i="94"/>
  <c r="E25" i="94"/>
  <c r="D25" i="94"/>
  <c r="B25" i="94"/>
  <c r="H24" i="94"/>
  <c r="C24" i="94" s="1"/>
  <c r="O24" i="94"/>
  <c r="M24" i="94"/>
  <c r="G24" i="94"/>
  <c r="F24" i="94"/>
  <c r="E24" i="94"/>
  <c r="D24" i="94"/>
  <c r="B24" i="94"/>
  <c r="H22" i="94"/>
  <c r="B10" i="94"/>
  <c r="B5" i="94"/>
  <c r="B3" i="94"/>
  <c r="B2" i="94"/>
  <c r="C1" i="94"/>
  <c r="B11" i="94" s="1"/>
  <c r="B14" i="93"/>
  <c r="B12" i="93"/>
  <c r="C11" i="93"/>
  <c r="B11" i="93"/>
  <c r="B10" i="93"/>
  <c r="B9" i="93"/>
  <c r="B8" i="93"/>
  <c r="B7" i="93"/>
  <c r="B6" i="93"/>
  <c r="C5" i="93"/>
  <c r="B5" i="93"/>
  <c r="N25" i="94" l="1"/>
  <c r="N33" i="94"/>
  <c r="N34" i="94"/>
  <c r="N27" i="96"/>
  <c r="N24" i="94"/>
  <c r="B4" i="94" s="1"/>
  <c r="B8" i="94" s="1"/>
  <c r="N26" i="94"/>
  <c r="B7" i="94" s="1"/>
  <c r="N26" i="95"/>
  <c r="N24" i="96"/>
  <c r="N31" i="94"/>
  <c r="N35" i="94"/>
  <c r="N25" i="95"/>
  <c r="N27" i="95"/>
  <c r="B4" i="95" s="1"/>
  <c r="B8" i="95" s="1"/>
  <c r="C32" i="95" s="1"/>
  <c r="N25" i="96"/>
  <c r="B4" i="96" s="1"/>
  <c r="B8" i="96" s="1"/>
  <c r="B7" i="95"/>
  <c r="B6" i="95"/>
  <c r="B6" i="94"/>
  <c r="B7" i="96"/>
  <c r="B6" i="96"/>
  <c r="I42" i="94"/>
  <c r="I44" i="94"/>
  <c r="I43" i="94"/>
  <c r="E40" i="94"/>
  <c r="C1" i="27"/>
  <c r="B11" i="27" s="1"/>
  <c r="C42" i="96" l="1"/>
  <c r="C39" i="96"/>
  <c r="C36" i="96"/>
  <c r="C33" i="96"/>
  <c r="C41" i="96"/>
  <c r="C38" i="96"/>
  <c r="C35" i="96"/>
  <c r="C32" i="96"/>
  <c r="C40" i="96"/>
  <c r="C37" i="96"/>
  <c r="C34" i="96"/>
  <c r="C78" i="94"/>
  <c r="C69" i="94"/>
  <c r="C76" i="94"/>
  <c r="C77" i="94"/>
  <c r="C53" i="94"/>
  <c r="C60" i="94"/>
  <c r="C61" i="94"/>
  <c r="C68" i="94"/>
  <c r="C40" i="95"/>
  <c r="C33" i="95"/>
  <c r="C74" i="94"/>
  <c r="C66" i="94"/>
  <c r="C58" i="94"/>
  <c r="C75" i="94"/>
  <c r="C67" i="94"/>
  <c r="C59" i="94"/>
  <c r="C38" i="95"/>
  <c r="C39" i="95"/>
  <c r="C72" i="94"/>
  <c r="C64" i="94"/>
  <c r="C56" i="94"/>
  <c r="C73" i="94"/>
  <c r="C65" i="94"/>
  <c r="C57" i="94"/>
  <c r="C36" i="95"/>
  <c r="C37" i="95"/>
  <c r="C70" i="94"/>
  <c r="C62" i="94"/>
  <c r="C54" i="94"/>
  <c r="C71" i="94"/>
  <c r="C63" i="94"/>
  <c r="C55" i="94"/>
  <c r="C34" i="95"/>
  <c r="C35" i="95"/>
  <c r="H49" i="94"/>
  <c r="H48" i="94"/>
  <c r="D4" i="27"/>
  <c r="C40" i="94" l="1"/>
  <c r="B10" i="88"/>
  <c r="C5" i="88"/>
  <c r="B5" i="88"/>
  <c r="B6" i="88" l="1"/>
  <c r="B8" i="88" l="1"/>
  <c r="E14" i="1" l="1" a="1"/>
  <c r="E14" i="1" s="1"/>
  <c r="E15" i="1" a="1"/>
  <c r="E15" i="1" s="1"/>
  <c r="E16" i="1" a="1"/>
  <c r="E16" i="1" s="1"/>
  <c r="E17" i="1" a="1"/>
  <c r="E17" i="1" s="1"/>
  <c r="E18" i="1" a="1"/>
  <c r="E18" i="1" s="1"/>
  <c r="E19" i="1" a="1"/>
  <c r="E19" i="1" s="1"/>
  <c r="E20" i="1" a="1"/>
  <c r="E20" i="1" s="1"/>
  <c r="E21" i="1" a="1"/>
  <c r="E21" i="1" s="1"/>
  <c r="E22" i="1" a="1"/>
  <c r="E22" i="1" s="1"/>
  <c r="E23" i="1" a="1"/>
  <c r="E23" i="1" s="1"/>
  <c r="E24" i="1" a="1"/>
  <c r="E24" i="1" s="1"/>
  <c r="E25" i="1" a="1"/>
  <c r="E25" i="1" s="1"/>
  <c r="E26" i="1" a="1"/>
  <c r="E26" i="1" s="1"/>
  <c r="E27" i="1" a="1"/>
  <c r="E27" i="1" s="1"/>
  <c r="E13" i="1" a="1"/>
  <c r="E13" i="1" s="1"/>
  <c r="D14" i="1" a="1"/>
  <c r="D14" i="1" s="1"/>
  <c r="D15" i="1" a="1"/>
  <c r="D15" i="1" s="1"/>
  <c r="D16" i="1" a="1"/>
  <c r="D16" i="1" s="1"/>
  <c r="D17" i="1" a="1"/>
  <c r="D17" i="1" s="1"/>
  <c r="D18" i="1" a="1"/>
  <c r="D18" i="1" s="1"/>
  <c r="D19" i="1" a="1"/>
  <c r="D19" i="1" s="1"/>
  <c r="D20" i="1" a="1"/>
  <c r="D20" i="1" s="1"/>
  <c r="D21" i="1" a="1"/>
  <c r="D21" i="1" s="1"/>
  <c r="D22" i="1" a="1"/>
  <c r="D22" i="1" s="1"/>
  <c r="D23" i="1" a="1"/>
  <c r="D23" i="1" s="1"/>
  <c r="D24" i="1" a="1"/>
  <c r="D24" i="1" s="1"/>
  <c r="D25" i="1" a="1"/>
  <c r="D25" i="1" s="1"/>
  <c r="D26" i="1" a="1"/>
  <c r="D26" i="1" s="1"/>
  <c r="D27" i="1" a="1"/>
  <c r="D27" i="1" s="1"/>
  <c r="D13" i="1" a="1"/>
  <c r="D13" i="1" s="1"/>
  <c r="C110" i="2"/>
  <c r="D110" i="2" s="1"/>
  <c r="C111" i="2"/>
  <c r="D111" i="2" s="1"/>
  <c r="C112" i="2"/>
  <c r="D112" i="2" s="1"/>
  <c r="C113" i="2"/>
  <c r="D113" i="2" s="1"/>
  <c r="C114" i="2"/>
  <c r="D114" i="2" s="1"/>
  <c r="C115" i="2"/>
  <c r="D115" i="2" s="1"/>
  <c r="C116" i="2"/>
  <c r="D116" i="2" s="1"/>
  <c r="C117" i="2"/>
  <c r="D117" i="2" s="1"/>
  <c r="C118" i="2"/>
  <c r="D118" i="2" s="1"/>
  <c r="C119" i="2"/>
  <c r="D119" i="2" s="1"/>
  <c r="C120" i="2"/>
  <c r="D120" i="2" s="1"/>
  <c r="C121" i="2"/>
  <c r="D121" i="2" s="1"/>
  <c r="C122" i="2"/>
  <c r="D122" i="2" s="1"/>
  <c r="C123" i="2"/>
  <c r="D123" i="2" s="1"/>
  <c r="C124" i="2"/>
  <c r="D124" i="2" s="1"/>
  <c r="C125" i="2"/>
  <c r="D125" i="2" s="1"/>
  <c r="C126" i="2"/>
  <c r="D126" i="2" s="1"/>
  <c r="C127" i="2"/>
  <c r="D127" i="2" s="1"/>
  <c r="C128" i="2"/>
  <c r="D128" i="2" s="1"/>
  <c r="C129" i="2"/>
  <c r="D129" i="2" s="1"/>
  <c r="C130" i="2"/>
  <c r="D130" i="2" s="1"/>
  <c r="C131" i="2"/>
  <c r="D131" i="2" s="1"/>
  <c r="C132" i="2"/>
  <c r="D132" i="2" s="1"/>
  <c r="C133" i="2"/>
  <c r="D133" i="2" s="1"/>
  <c r="C134" i="2"/>
  <c r="D134" i="2" s="1"/>
  <c r="C135" i="2"/>
  <c r="D135" i="2" s="1"/>
  <c r="C136" i="2"/>
  <c r="D136" i="2" s="1"/>
  <c r="C137" i="2"/>
  <c r="D137" i="2" s="1"/>
  <c r="C138" i="2"/>
  <c r="D138" i="2" s="1"/>
  <c r="C139" i="2"/>
  <c r="D139" i="2" s="1"/>
  <c r="C140" i="2"/>
  <c r="D140" i="2" s="1"/>
  <c r="C141" i="2"/>
  <c r="D141" i="2" s="1"/>
  <c r="C142" i="2"/>
  <c r="D142" i="2" s="1"/>
  <c r="C143" i="2"/>
  <c r="D143" i="2" s="1"/>
  <c r="C144" i="2"/>
  <c r="D144" i="2" s="1"/>
  <c r="C145" i="2"/>
  <c r="D145" i="2" s="1"/>
  <c r="C146" i="2"/>
  <c r="D146" i="2" s="1"/>
  <c r="C147" i="2"/>
  <c r="D147" i="2" s="1"/>
  <c r="C148" i="2"/>
  <c r="D148" i="2" s="1"/>
  <c r="C149" i="2"/>
  <c r="D149" i="2" s="1"/>
  <c r="C150" i="2"/>
  <c r="D150" i="2" s="1"/>
  <c r="C151" i="2"/>
  <c r="D151" i="2" s="1"/>
  <c r="C152" i="2"/>
  <c r="D152" i="2" s="1"/>
  <c r="C153" i="2"/>
  <c r="D153" i="2" s="1"/>
  <c r="C154" i="2"/>
  <c r="C105" i="2"/>
  <c r="D105" i="2" s="1"/>
  <c r="C106" i="2"/>
  <c r="D106" i="2" s="1"/>
  <c r="C107" i="2"/>
  <c r="D107" i="2" s="1"/>
  <c r="C108" i="2"/>
  <c r="D108" i="2" s="1"/>
  <c r="C109" i="2"/>
  <c r="D109" i="2" s="1"/>
  <c r="B3" i="27" l="1"/>
  <c r="B2" i="27"/>
  <c r="B7" i="27" l="1"/>
  <c r="B6" i="27"/>
  <c r="B12" i="88" l="1"/>
  <c r="C11" i="88"/>
  <c r="B9" i="88"/>
  <c r="B11" i="88"/>
  <c r="B7" i="88"/>
  <c r="F13" i="1"/>
  <c r="F14" i="1" s="1"/>
  <c r="F15" i="1" s="1"/>
  <c r="F16" i="1" s="1"/>
  <c r="F17" i="1" s="1"/>
  <c r="F18" i="1" s="1"/>
  <c r="F19" i="1" s="1"/>
  <c r="F20" i="1" s="1"/>
  <c r="F21" i="1" s="1"/>
  <c r="F22" i="1" s="1"/>
  <c r="F23" i="1" s="1"/>
  <c r="F24" i="1" s="1"/>
  <c r="F25" i="1" s="1"/>
  <c r="F26" i="1" s="1"/>
  <c r="F27" i="1" s="1"/>
  <c r="F2" i="1" s="1"/>
  <c r="B14" i="88" l="1"/>
  <c r="B5" i="27"/>
  <c r="B4" i="27" l="1"/>
  <c r="B8" i="27" s="1"/>
  <c r="B10" i="27" l="1"/>
  <c r="C5" i="2"/>
  <c r="C6" i="2"/>
  <c r="C7" i="2"/>
  <c r="C8" i="2"/>
  <c r="C9" i="2"/>
  <c r="C10" i="2"/>
  <c r="C11" i="2"/>
  <c r="C12" i="2"/>
  <c r="C13" i="2"/>
  <c r="C14" i="2"/>
  <c r="C15" i="2"/>
  <c r="C16" i="2"/>
  <c r="C17" i="2"/>
  <c r="C18" i="2"/>
  <c r="C19" i="2"/>
  <c r="C20" i="2"/>
  <c r="C21" i="2"/>
  <c r="C22" i="2"/>
  <c r="D22" i="2" s="1"/>
  <c r="C23" i="2"/>
  <c r="D23" i="2" s="1"/>
  <c r="C24" i="2"/>
  <c r="D24" i="2" s="1"/>
  <c r="C25" i="2"/>
  <c r="D25" i="2" s="1"/>
  <c r="C26" i="2"/>
  <c r="D26" i="2" s="1"/>
  <c r="C27" i="2"/>
  <c r="D27" i="2" s="1"/>
  <c r="C28" i="2"/>
  <c r="D28" i="2" s="1"/>
  <c r="C29" i="2"/>
  <c r="D29" i="2" s="1"/>
  <c r="C30" i="2"/>
  <c r="D30" i="2" s="1"/>
  <c r="C31" i="2"/>
  <c r="D31" i="2" s="1"/>
  <c r="C32" i="2"/>
  <c r="D32" i="2" s="1"/>
  <c r="C33" i="2"/>
  <c r="D33" i="2" s="1"/>
  <c r="C34" i="2"/>
  <c r="D34" i="2" s="1"/>
  <c r="C35" i="2"/>
  <c r="D35" i="2" s="1"/>
  <c r="C36" i="2"/>
  <c r="D36" i="2" s="1"/>
  <c r="C37" i="2"/>
  <c r="D37" i="2" s="1"/>
  <c r="C38" i="2"/>
  <c r="D38" i="2" s="1"/>
  <c r="C39" i="2"/>
  <c r="D39" i="2" s="1"/>
  <c r="C40" i="2"/>
  <c r="D40" i="2" s="1"/>
  <c r="C41" i="2"/>
  <c r="D41" i="2" s="1"/>
  <c r="C42" i="2"/>
  <c r="D42" i="2" s="1"/>
  <c r="C43" i="2"/>
  <c r="D43" i="2" s="1"/>
  <c r="C44" i="2"/>
  <c r="D44" i="2" s="1"/>
  <c r="C45" i="2"/>
  <c r="D45" i="2" s="1"/>
  <c r="C46" i="2"/>
  <c r="D46" i="2" s="1"/>
  <c r="C47" i="2"/>
  <c r="D47" i="2" s="1"/>
  <c r="C48" i="2"/>
  <c r="D48" i="2" s="1"/>
  <c r="C49" i="2"/>
  <c r="D49" i="2" s="1"/>
  <c r="C50" i="2"/>
  <c r="D50" i="2" s="1"/>
  <c r="C51" i="2"/>
  <c r="D51" i="2" s="1"/>
  <c r="C52" i="2"/>
  <c r="D52" i="2" s="1"/>
  <c r="C53" i="2"/>
  <c r="D53" i="2" s="1"/>
  <c r="C54" i="2"/>
  <c r="D54" i="2" s="1"/>
  <c r="C55" i="2"/>
  <c r="D55" i="2" s="1"/>
  <c r="C56" i="2"/>
  <c r="D56" i="2" s="1"/>
  <c r="C57" i="2"/>
  <c r="D57" i="2" s="1"/>
  <c r="C58" i="2"/>
  <c r="D58" i="2" s="1"/>
  <c r="C59" i="2"/>
  <c r="D59" i="2" s="1"/>
  <c r="C60" i="2"/>
  <c r="D60" i="2" s="1"/>
  <c r="C61" i="2"/>
  <c r="D61" i="2" s="1"/>
  <c r="C62" i="2"/>
  <c r="D62" i="2" s="1"/>
  <c r="C63" i="2"/>
  <c r="D63" i="2" s="1"/>
  <c r="C64" i="2"/>
  <c r="D64" i="2" s="1"/>
  <c r="C65" i="2"/>
  <c r="D65" i="2" s="1"/>
  <c r="C66" i="2"/>
  <c r="D66" i="2" s="1"/>
  <c r="C67" i="2"/>
  <c r="D67" i="2" s="1"/>
  <c r="C68" i="2"/>
  <c r="D68" i="2" s="1"/>
  <c r="C69" i="2"/>
  <c r="D69" i="2" s="1"/>
  <c r="C70" i="2"/>
  <c r="D70" i="2" s="1"/>
  <c r="C71" i="2"/>
  <c r="D71" i="2" s="1"/>
  <c r="C72" i="2"/>
  <c r="D72" i="2" s="1"/>
  <c r="C73" i="2"/>
  <c r="D73" i="2" s="1"/>
  <c r="C74" i="2"/>
  <c r="D74" i="2" s="1"/>
  <c r="C75" i="2"/>
  <c r="D75" i="2" s="1"/>
  <c r="C76" i="2"/>
  <c r="D76" i="2" s="1"/>
  <c r="C77" i="2"/>
  <c r="D77" i="2" s="1"/>
  <c r="C78" i="2"/>
  <c r="D78" i="2" s="1"/>
  <c r="C79" i="2"/>
  <c r="D79" i="2" s="1"/>
  <c r="C80" i="2"/>
  <c r="D80" i="2" s="1"/>
  <c r="C81" i="2"/>
  <c r="D81" i="2" s="1"/>
  <c r="C82" i="2"/>
  <c r="D82" i="2" s="1"/>
  <c r="C83" i="2"/>
  <c r="D83" i="2" s="1"/>
  <c r="C84" i="2"/>
  <c r="D84" i="2" s="1"/>
  <c r="C85" i="2"/>
  <c r="D85" i="2" s="1"/>
  <c r="C86" i="2"/>
  <c r="D86" i="2" s="1"/>
  <c r="C87" i="2"/>
  <c r="D87" i="2" s="1"/>
  <c r="C88" i="2"/>
  <c r="D88" i="2" s="1"/>
  <c r="C89" i="2"/>
  <c r="D89" i="2" s="1"/>
  <c r="C90" i="2"/>
  <c r="D90" i="2" s="1"/>
  <c r="C91" i="2"/>
  <c r="D91" i="2" s="1"/>
  <c r="C92" i="2"/>
  <c r="D92" i="2" s="1"/>
  <c r="C93" i="2"/>
  <c r="D93" i="2" s="1"/>
  <c r="C94" i="2"/>
  <c r="D94" i="2" s="1"/>
  <c r="C95" i="2"/>
  <c r="D95" i="2" s="1"/>
  <c r="C96" i="2"/>
  <c r="D96" i="2" s="1"/>
  <c r="C97" i="2"/>
  <c r="D97" i="2" s="1"/>
  <c r="C98" i="2"/>
  <c r="D98" i="2" s="1"/>
  <c r="C99" i="2"/>
  <c r="D99" i="2" s="1"/>
  <c r="C100" i="2"/>
  <c r="D100" i="2" s="1"/>
  <c r="C101" i="2"/>
  <c r="D101" i="2" s="1"/>
  <c r="C102" i="2"/>
  <c r="D102" i="2" s="1"/>
  <c r="C103" i="2"/>
  <c r="D103" i="2" s="1"/>
  <c r="C104" i="2"/>
  <c r="D104" i="2" s="1"/>
  <c r="C4" i="2"/>
  <c r="D154" i="2" l="1"/>
  <c r="D17" i="2"/>
  <c r="D9" i="2"/>
  <c r="D5" i="2"/>
  <c r="D16" i="2"/>
  <c r="D8" i="2"/>
  <c r="D7" i="2"/>
  <c r="D14" i="2"/>
  <c r="D6" i="2"/>
  <c r="D21" i="2"/>
  <c r="D13" i="2"/>
  <c r="D15" i="2"/>
  <c r="D20" i="2"/>
  <c r="D12" i="2"/>
  <c r="D19" i="2"/>
  <c r="D11" i="2"/>
  <c r="D18" i="2"/>
  <c r="D10" i="2"/>
  <c r="D4" i="2"/>
</calcChain>
</file>

<file path=xl/comments1.xml><?xml version="1.0" encoding="utf-8"?>
<comments xmlns="http://schemas.openxmlformats.org/spreadsheetml/2006/main">
  <authors>
    <author>Paul Ootjers</author>
  </authors>
  <commentList>
    <comment ref="B19" authorId="0">
      <text>
        <r>
          <rPr>
            <b/>
            <sz val="9"/>
            <color indexed="81"/>
            <rFont val="Tahoma"/>
            <family val="2"/>
          </rPr>
          <t xml:space="preserve">Toelichting:
</t>
        </r>
        <r>
          <rPr>
            <sz val="9"/>
            <color indexed="81"/>
            <rFont val="Tahoma"/>
            <family val="2"/>
          </rPr>
          <t>De werkprocesnaam kan worden afgebroken door met ALT+ENTER een regeleinde in te voegen. Tevens is het mogelijk dit automatisch te laten gebeuren na een x-aantal tekens. Indien dit laatste ongewenst is kan gekozen worden om een zeer groot aantal in te vullen (bijvoorbeeld 1000).</t>
        </r>
      </text>
    </comment>
  </commentList>
</comments>
</file>

<file path=xl/comments2.xml><?xml version="1.0" encoding="utf-8"?>
<comments xmlns="http://schemas.openxmlformats.org/spreadsheetml/2006/main">
  <authors>
    <author>Paul Ootjers</author>
  </authors>
  <commentList>
    <comment ref="D4" authorId="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3.xml><?xml version="1.0" encoding="utf-8"?>
<comments xmlns="http://schemas.openxmlformats.org/spreadsheetml/2006/main">
  <authors>
    <author>Paul Ootjers</author>
  </authors>
  <commentList>
    <comment ref="D4" authorId="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4.xml><?xml version="1.0" encoding="utf-8"?>
<comments xmlns="http://schemas.openxmlformats.org/spreadsheetml/2006/main">
  <authors>
    <author>Paul Ootjers</author>
  </authors>
  <commentList>
    <comment ref="D4" authorId="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5.xml><?xml version="1.0" encoding="utf-8"?>
<comments xmlns="http://schemas.openxmlformats.org/spreadsheetml/2006/main">
  <authors>
    <author>Paul Ootjers</author>
  </authors>
  <commentList>
    <comment ref="D4" authorId="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sharedStrings.xml><?xml version="1.0" encoding="utf-8"?>
<sst xmlns="http://schemas.openxmlformats.org/spreadsheetml/2006/main" count="400" uniqueCount="220">
  <si>
    <t>Kerntaken en werkprocessen</t>
  </si>
  <si>
    <t>Werkproces</t>
  </si>
  <si>
    <t>Opdracht</t>
  </si>
  <si>
    <t>Criterium</t>
  </si>
  <si>
    <t>Beheersingsniveau 0</t>
  </si>
  <si>
    <t>Beheersingsniveau 1</t>
  </si>
  <si>
    <t>Beheersingsniveau 2</t>
  </si>
  <si>
    <t>Beheersingsniveau 3</t>
  </si>
  <si>
    <t>Cruciaal</t>
  </si>
  <si>
    <t>Kerntaak</t>
  </si>
  <si>
    <t>Werkprocessen</t>
  </si>
  <si>
    <t>Code</t>
  </si>
  <si>
    <t>Naam</t>
  </si>
  <si>
    <t>Ja/Nee</t>
  </si>
  <si>
    <t>Ja</t>
  </si>
  <si>
    <t>Nee</t>
  </si>
  <si>
    <t>Datum</t>
  </si>
  <si>
    <t>Leerlingnummer</t>
  </si>
  <si>
    <t>Klas</t>
  </si>
  <si>
    <t>Beoordelaar 1</t>
  </si>
  <si>
    <t>Beoordelaar 2</t>
  </si>
  <si>
    <t>Persoonsinformatie</t>
  </si>
  <si>
    <t>Taken</t>
  </si>
  <si>
    <t>EersteOpdracht</t>
  </si>
  <si>
    <t>LaatsteOpdracht</t>
  </si>
  <si>
    <t>Werkproces:</t>
  </si>
  <si>
    <t>Eerste opdracht:</t>
  </si>
  <si>
    <t>Laatste opdracht:</t>
  </si>
  <si>
    <t>OpdrachtId</t>
  </si>
  <si>
    <t>CriteriumId</t>
  </si>
  <si>
    <t>Debug modus</t>
  </si>
  <si>
    <t>PuntentotaalBehaald</t>
  </si>
  <si>
    <t>PuntentotaalMax</t>
  </si>
  <si>
    <t>Normale bedrijfsstand =  0</t>
  </si>
  <si>
    <t>Cesuur</t>
  </si>
  <si>
    <t>Algemene informatie</t>
  </si>
  <si>
    <t>Examenvorm</t>
  </si>
  <si>
    <t>Examennaam en Examencode</t>
  </si>
  <si>
    <t>Kwalificatiedossier en Cohort</t>
  </si>
  <si>
    <t>Profiel en crebocode</t>
  </si>
  <si>
    <t>TekstSamengevoegd</t>
  </si>
  <si>
    <t>[Examennaam]</t>
  </si>
  <si>
    <t>#Ant. Mog. &lt;=1</t>
  </si>
  <si>
    <t>#Ant. Mog. 2-3</t>
  </si>
  <si>
    <t>Teksten</t>
  </si>
  <si>
    <t>Werkproces motivatie:</t>
  </si>
  <si>
    <t>Beschrijvingen beheersingsniveaus</t>
  </si>
  <si>
    <t>Kandidaat</t>
  </si>
  <si>
    <t>Fout markeer opmaak:</t>
  </si>
  <si>
    <t>Examennaam</t>
  </si>
  <si>
    <t>Examencode</t>
  </si>
  <si>
    <t>Cohort en crebocode</t>
  </si>
  <si>
    <t>Code beoordelingsformulier en vaststellingsdatum</t>
  </si>
  <si>
    <t>Code beoordelingsformulier</t>
  </si>
  <si>
    <t>Vaststellingsdatum</t>
  </si>
  <si>
    <t>Kwalificatiedossier</t>
  </si>
  <si>
    <t>Profiel</t>
  </si>
  <si>
    <t>greyed out</t>
  </si>
  <si>
    <t>"Grey-out" opmaak:</t>
  </si>
  <si>
    <t>Handtekening kandidaat tonen:</t>
  </si>
  <si>
    <t>Copyright tekst:</t>
  </si>
  <si>
    <t>© Stichting Praktijkleren</t>
  </si>
  <si>
    <t>Beoordelingsformulier praktijkexamen</t>
  </si>
  <si>
    <t>2016 en verder</t>
  </si>
  <si>
    <t>Invullen gestart:</t>
  </si>
  <si>
    <r>
      <t xml:space="preserve">Onderbouw </t>
    </r>
    <r>
      <rPr>
        <u/>
        <sz val="11"/>
        <color theme="1"/>
        <rFont val="Calibri"/>
        <family val="2"/>
        <scheme val="minor"/>
      </rPr>
      <t>altijd</t>
    </r>
    <r>
      <rPr>
        <sz val="11"/>
        <color theme="1"/>
        <rFont val="Calibri"/>
        <family val="2"/>
        <scheme val="minor"/>
      </rPr>
      <t xml:space="preserve"> het beoordelingsresultaat.
Bij de onderbouwing kan gebruik gemaakt worden van de beschrijvingen in de beoordelingstabel.
</t>
    </r>
  </si>
  <si>
    <t>Regel afbreken werkprocesnaam:</t>
  </si>
  <si>
    <t>BF_AMO_AO16-B1-K3_1</t>
  </si>
  <si>
    <t>B1-K3</t>
  </si>
  <si>
    <t>Applicatieontwikkeling</t>
  </si>
  <si>
    <t>Levert een product op</t>
  </si>
  <si>
    <t>P1: Applicatie- en mediaontwikkelaar, 4</t>
  </si>
  <si>
    <t>B1-K3-W1</t>
  </si>
  <si>
    <t>B1-K3-W2</t>
  </si>
  <si>
    <t>B1-K3-W3</t>
  </si>
  <si>
    <t>Optimaliseert het product</t>
  </si>
  <si>
    <t>Levert het product op</t>
  </si>
  <si>
    <t>Evalueert het opgeleverde product</t>
  </si>
  <si>
    <t>T1</t>
  </si>
  <si>
    <t>T2</t>
  </si>
  <si>
    <t>T3</t>
  </si>
  <si>
    <t>T4</t>
  </si>
  <si>
    <t>Acceptatietest</t>
  </si>
  <si>
    <t>Weinig functionele eisen uit het FO komen terug in de acceptatietest en de scenario’s. En/of een cruciale eis ontbreekt.
De testset(s) zijn niet aanwezig.</t>
  </si>
  <si>
    <t>Alle functionele eisen uit het FO komen terug in de acceptatietest en de scenario’s.
De testset(s) zijn voor een groot deel aanwezig.</t>
  </si>
  <si>
    <t>Alle functionele eisen uit het FO komen terug in de acceptatietest en de scenario’s.
Alle testset(s) zijn aanwezig.</t>
  </si>
  <si>
    <t xml:space="preserve">Bijna alle functionele eisen uit het FO komen terug in de acceptatietest en de scenario’s. Alle cruciale eisen zijn aanwezig.
De testset(s) zijn voor een klein deel aanwezig.
</t>
  </si>
  <si>
    <t>Uitvoerbaarheid</t>
  </si>
  <si>
    <t>De scenario’s in de acceptatietest zijn niet uitvoerbaar in de applicatie die getest wordt.</t>
  </si>
  <si>
    <t>Een klein deel scenario’s in de acceptatietest zijn uitvoerbaar in de applicatie die getest wordt.</t>
  </si>
  <si>
    <t>Alle scenario’s in de acceptatietest zijn uitvoerbaar in de applicatie die getest wordt.</t>
  </si>
  <si>
    <t xml:space="preserve">Een groot deel scenario’s in de acceptatietest zijn uitvoerbaar in de applicatie die getest wordt.
</t>
  </si>
  <si>
    <t>Scenario’s (volgens functionele eisen)</t>
  </si>
  <si>
    <t>Bijna alle scenario’s bevatten een begin- en eindsituatie en een controle-element voor de gebruiker.
Bijna alle toegestane situaties worden getest. Ook de niet toegestane situaties worden getest.
Weinig scenario’s bevatten begrijpelijke instructies voor de gebruiker.</t>
  </si>
  <si>
    <t>Alle scenario’s bevatten een begin- en eindsituatie en een controle-element voor de gebruiker.
Bijna alle toegestane situaties worden getest. Ook de niet toegestane situaties worden getest.
Bijna alle scenario’s bevatten begrijpelijke instructies voor de gebruiker.</t>
  </si>
  <si>
    <t>Alle scenario’s bevatten een begin- en eindsituatie en een controle-element voor de gebruiker.
Alle toegestane situaties worden getest. Ook de niet toegestane situaties worden getest.
Alle scenario’s bevatten begrijpelijke instructies voor de gebruiker.</t>
  </si>
  <si>
    <t xml:space="preserve">Bijna alle scenario’s bevatten een begin- en eindsituatie en een controle-element voor de gebruiker.
Bijna alle toegestane situaties worden getest. De niet toegestane situaties worden niet getest. 
Weinig scenario’s bevatten begrijpelijke instructies voor de gebruiker.
</t>
  </si>
  <si>
    <t>Uitvoeren acceptatietest</t>
  </si>
  <si>
    <t>De acceptatietest wordt niet goed ingeleid. 
Relevante ervaringen en gedrag van gebruikers worden deels genoteerd.</t>
  </si>
  <si>
    <t>De acceptatietest wordt kort en goed ingeleid. 
Relevante ervaringen en gedrag van gebruikers worden genoteerd.</t>
  </si>
  <si>
    <t>Communiceren met betrokkenen</t>
  </si>
  <si>
    <t>Luistert naar opmerkingen van gebruikers en reageert niet of nauwelijks objectief en constructief.
Het is nodig om extra vragen te stellen, maar dit gebeurt niet.</t>
  </si>
  <si>
    <t>Luistert naar opmerkingen en reageert voor een klein deel objectief en constructief.
Indien nodig worden vragen gesteld om extra informatie te achterhalen.</t>
  </si>
  <si>
    <t>Luistert aandachtig en begripvol naar opmerkingen en reageert objectief en constructief.
Indien nodig worden vragen gesteld om extra informatie te achterhalen.</t>
  </si>
  <si>
    <t>Verzamelen testresultaten</t>
  </si>
  <si>
    <t>De testresultaten van de gebruikers worden voor een klein deel verzameld.</t>
  </si>
  <si>
    <t>De testresultaten van de gebruikers worden grotendeels verzameld.</t>
  </si>
  <si>
    <t>Alle testresultaten van de gebruikers worden verzameld.</t>
  </si>
  <si>
    <t xml:space="preserve">De testresultaten van de gebruikers worden niet of nauwelijks verzameld.
</t>
  </si>
  <si>
    <t>Uitwerken testresultaten</t>
  </si>
  <si>
    <t>Uit de testresultaten  worden grotendeels de juiste conclusies getrokken, volgens de functionele eisen.
De benodigde aanpassingen worden grotendeels correct geprioriteerd en de bijbehorende werkzaamheden worden grotendeels beschreven.</t>
  </si>
  <si>
    <t>Uit de testresultaten  worden de juiste conclusies getrokken, volgens de functionele eisen.
De benodigde aanpassingen worden grotendeels correct geprioriteerd en de bijbehorende werkzaamheden worden grotendeels beschreven.</t>
  </si>
  <si>
    <t>Uit de testresultaten  worden de juiste conclusies getrokken, volgens de functionele eisen.
De benodigde aanpassingen worden correct geprioriteerd en de bijbehorende werkzaamheden worden beschreven.</t>
  </si>
  <si>
    <t>Uitvoeren testresultaten</t>
  </si>
  <si>
    <t>Bijna alle beschreven werkzaamheden worden uitgevoerd.
Er is grotendeels volgens voorgeschreven eisen gecodeerd.
Bijna alle aanpassingen worden getest.</t>
  </si>
  <si>
    <t>Alle beschreven werkzaamheden worden uitgevoerd.
Er is volgens voorgeschreven eisen gecodeerd.
Bijna alle aanpassingen worden getest.</t>
  </si>
  <si>
    <t>Alle beschreven werkzaamheden worden uitgevoerd.
Er is volgens voorgeschreven eisen gecodeerd.
Alle aanpassingen worden getest.</t>
  </si>
  <si>
    <t>Documenteren</t>
  </si>
  <si>
    <t>De documentatie is volledig, correct en duidelijk.</t>
  </si>
  <si>
    <t xml:space="preserve">De documentatie is niet volledig en/of correct en/of duidelijk.
</t>
  </si>
  <si>
    <t>Product opleveren</t>
  </si>
  <si>
    <t>Het product wordt van testomgeving naar productie-omgeving gebracht, conform de functionele eisen.
En
In de productieomgeving zijn dezelfde functionaliteiten beschikbaar als in de testomgeving.</t>
  </si>
  <si>
    <t>Goedkeuring vragen</t>
  </si>
  <si>
    <t>Er wordt goedkeuring gevraagd aan de opdrachtgever voor het opgeleverde product.</t>
  </si>
  <si>
    <t xml:space="preserve">Er wordt geen goedkeuring gevraagd van de opdrachtgever voor het opgeleverde product.
</t>
  </si>
  <si>
    <t xml:space="preserve">Inhoud demonstratie </t>
  </si>
  <si>
    <t>Er wordt minimaal aangetoond dat het product aansluit op de eisen uit het PvE.
Er wordt minimaal adequaat gereageerd op de opdrachtgever.</t>
  </si>
  <si>
    <t>Er wordt grotendeels aangetoond dat het product aansluit op de eisen uit het PvE.
Er wordt grotendeels adequaat gereageerd op de opdrachtgever.</t>
  </si>
  <si>
    <t>Er wordt overtuigend aangetoond dat het product aansluit op de eisen uit het PvE.
Er wordt adequaat gereageerd op de opdrachtgever.</t>
  </si>
  <si>
    <t xml:space="preserve">Er wordt niet of nauwelijks aangetoond dat het product aansluit op de eisen uit het PvE.
Er wordt niet of nauwelijks adequaat gereageerd op de opdrachtgever.
</t>
  </si>
  <si>
    <t xml:space="preserve">Vorm demonstratie </t>
  </si>
  <si>
    <t>Het product wordt op onbegrijpelijke en niet overtuigende wijze gedemonstreerd. 
De demonstratie bevat een onduidelijke opbouw (inleiding, kern en slot).</t>
  </si>
  <si>
    <t>Het product wordt op grotendeels begrijpelijke en grotendeels overtuigende wijze gedemonstreerd. 
De demonstratie bevat een duidelijke opbouw (inleiding, kern en slot).</t>
  </si>
  <si>
    <t>Het product wordt op begrijpelijke en overtuigende wijze gedemonstreerd. 
De demonstratie bevat een duidelijke opbouw (inleiding, kern en slot).</t>
  </si>
  <si>
    <t xml:space="preserve">Het product wordt op grotendeels begrijpelijke en grotendeels overtuigende wijze gedemonstreerd.
De demonstratie bevat een onduidelijke opbouw (inleiding, kern en slot).
</t>
  </si>
  <si>
    <t>Evalueren product</t>
  </si>
  <si>
    <t>T1, T2</t>
  </si>
  <si>
    <t>Niet de juiste betrokkenen zijn geraadpleegd over het product.
De verbeterpunten en wat goed gegaan is, zijn grotendeels volledig beschreven.</t>
  </si>
  <si>
    <t>De betrokkenen zijn geraadpleegd over het product.
De verbeterpunten en wat goed gegaan is, zijn grotendeels volledig beschreven.</t>
  </si>
  <si>
    <t xml:space="preserve">De betrokkenen zijn geraadpleegd over het product.
De verbeterpunten en wat goed gegaan is, zijn volledig beschreven. </t>
  </si>
  <si>
    <t xml:space="preserve">Geen van de betrokkenen zijn geraadpleegd over het product.
De verbeterpunten en wat goed gegaan is, zijn niet of voor een klein deel beschreven.
</t>
  </si>
  <si>
    <t>Evalueren proces</t>
  </si>
  <si>
    <t>Niet de juiste betrokkenen zijn geraadpleegd over het proces.
De verbeterpunten en wat goed gegaan is, zijn grotendeels volledig beschreven.</t>
  </si>
  <si>
    <t>De betrokkenen zijn geraadpleegd over het proces.
De verbeterpunten en wat goed gegaan is, zijn grotendeels volledig beschreven.</t>
  </si>
  <si>
    <t>Alle betrokkenen zijn geraadpleegd over het proces.
De verbeterpunten en wat goed gegaan is, zijn beschreven.</t>
  </si>
  <si>
    <t xml:space="preserve">Geen van de betrokkenen zijn geraadpleegd over het proces.
De verbeterpunten en wat goed gegaan is, zijn niet of voor een klein deel beschreven.
</t>
  </si>
  <si>
    <t>Schrijven evaluatie</t>
  </si>
  <si>
    <t>Het evaluatieverslag is voor een klein deel nauwkeurig en volledig geschreven.</t>
  </si>
  <si>
    <t>Het evaluatieverslag is grotendeels nauwkeurig en volledig geschreven.</t>
  </si>
  <si>
    <t>Het evaluatieverslag is nauwkeurig en volledig geschreven.</t>
  </si>
  <si>
    <t xml:space="preserve">Het evaluatieverslag is onnauwkeurig en onvolledig geschreven.
</t>
  </si>
  <si>
    <t>Accorderen</t>
  </si>
  <si>
    <t>Het evaluatieverslag is geaccordeerd.</t>
  </si>
  <si>
    <t xml:space="preserve">Het evaluatieverslag is niet geaccordeerd.
</t>
  </si>
  <si>
    <t>Beoordeling opdracht 1</t>
  </si>
  <si>
    <t>Opdracht:</t>
  </si>
  <si>
    <t>OpdrachtId:</t>
  </si>
  <si>
    <t>B1-K3-W1-1</t>
  </si>
  <si>
    <t>Aantal criteria:</t>
  </si>
  <si>
    <t>Taak</t>
  </si>
  <si>
    <t>Cb0</t>
  </si>
  <si>
    <t>Cb1</t>
  </si>
  <si>
    <t>Cb2</t>
  </si>
  <si>
    <t>Cb3</t>
  </si>
  <si>
    <t>CheckboxenIngevuld</t>
  </si>
  <si>
    <t>B1-K3-W1-1-1</t>
  </si>
  <si>
    <t>B1-K3-W1-1-2</t>
  </si>
  <si>
    <t>B1-K3-W1-1-3</t>
  </si>
  <si>
    <t>Beoordeling opdracht 2</t>
  </si>
  <si>
    <t>B1-K3-W1-2</t>
  </si>
  <si>
    <t>B1-K3-W1-2-1</t>
  </si>
  <si>
    <t>B1-K3-W1-2-2</t>
  </si>
  <si>
    <t>B1-K3-W1-2-3</t>
  </si>
  <si>
    <t>B1-K3-W1-2-4</t>
  </si>
  <si>
    <t>B1-K3-W1-2-5</t>
  </si>
  <si>
    <t>B1-K3-W1-2-6</t>
  </si>
  <si>
    <t>* Cruciaal criterium</t>
  </si>
  <si>
    <t>Beslissing B1-K3-W1</t>
  </si>
  <si>
    <t>Cruciale criteria</t>
  </si>
  <si>
    <t>Aantal cruciale criteria:</t>
  </si>
  <si>
    <t>Alle crucialecriteria behaald:</t>
  </si>
  <si>
    <t>Cruciaal criterium</t>
  </si>
  <si>
    <t>Behaald in kolom 1 of hoger</t>
  </si>
  <si>
    <t>cbCruciaalBehaaldJa</t>
  </si>
  <si>
    <t>cbCruciaalBehaaldNee</t>
  </si>
  <si>
    <t>cbCruciaalBehaald</t>
  </si>
  <si>
    <t>Zijn alle cruciale criteria behaald?</t>
  </si>
  <si>
    <t>Reik cijfer uit volgens cijfertabel</t>
  </si>
  <si>
    <t>Onvoldoende</t>
  </si>
  <si>
    <t>Cijfertabel</t>
  </si>
  <si>
    <t>Punten</t>
  </si>
  <si>
    <t>Cijfer</t>
  </si>
  <si>
    <t>Behaald</t>
  </si>
  <si>
    <t>Motivatie</t>
  </si>
  <si>
    <t>Motiveer de beslissing.</t>
  </si>
  <si>
    <t xml:space="preserve">Onderbouw altijd het beoordelingsresultaat.
Bij de onderbouwing kan gebruik gemaakt worden van de beschrijvingen in de beoordelingstabel.
</t>
  </si>
  <si>
    <t>Handtekening</t>
  </si>
  <si>
    <t>Zet uw handtekening.</t>
  </si>
  <si>
    <t>Beoordeling opdracht 3</t>
  </si>
  <si>
    <t>B1-K3-W2-3</t>
  </si>
  <si>
    <t>B1-K3-W2-3-1</t>
  </si>
  <si>
    <t>B1-K3-W2-3-2</t>
  </si>
  <si>
    <t>B1-K3-W2-3-3</t>
  </si>
  <si>
    <t>B1-K3-W2-3-4</t>
  </si>
  <si>
    <t>Beslissing B1-K3-W2</t>
  </si>
  <si>
    <t>Beoordeling opdracht 4</t>
  </si>
  <si>
    <t>B1-K3-W3-4</t>
  </si>
  <si>
    <t>B1-K3-W3-4-1</t>
  </si>
  <si>
    <t>B1-K3-W3-4-2</t>
  </si>
  <si>
    <t>B1-K3-W3-4-3</t>
  </si>
  <si>
    <t>B1-K3-W3-4-4</t>
  </si>
  <si>
    <t>Beslissing B1-K3-W3</t>
  </si>
  <si>
    <t>De acceptatietest wordt niet of nauwelijks ingeleid.
Relevante ervaringen en gedrag van gebruikers worden niet of nauwelijks genoteerd.</t>
  </si>
  <si>
    <t>Luistert aandachtig en begripvol naar opmerkingen en reageert grotendeels objectief en constructief.
Indien nodig worden vragen gesteld om extra informatie te achterhalen.</t>
  </si>
  <si>
    <t>Uit de testresultaten  worden niet of nauwelijks de juiste conclusies getrokken, volgens de functionele eisen.
Of
De benodigde aanpassingen worden niet of nauwelijks correct geprioriteerd.
Of
De bijbehorende werkzaamheden worden niet of nauwelijks beschreven.</t>
  </si>
  <si>
    <t>Weinig beschreven werkzaamheden worden uitgevoerd.
Of
Er is niet of nauwelijks volgens voorgeschreven eisen gecodeerd.
Of 
Weinig aanpassingen worden getest.</t>
  </si>
  <si>
    <t xml:space="preserve">De acceptatietest wordt kort en goed ingeleid.
Relevante ervaringen en gedrag van gebruikers worden deels genoteerd. </t>
  </si>
  <si>
    <t>Het product wordt niet van testomgeving naar productieomgeving gebracht, conform de functionele eisen.
Of
In de productieomgeving zijn niet dezelfde functionaliteiten beschikbaar als in de testomgeving.</t>
  </si>
  <si>
    <t>Proeve van Bekwaamheid (praktijkexamen in de beroepspraktijk)</t>
  </si>
  <si>
    <t>[Examencode]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</si>
</sst>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14" x14ac:knownFonts="1">
    <font>
      <sz val="11"/>
      <color theme="1"/>
      <name val="Calibri"/>
      <family val="2"/>
      <scheme val="minor"/>
    </font>
    <font>
      <b/>
      <sz val="11"/>
      <color theme="0"/>
      <name val="Calibri"/>
      <family val="2"/>
      <scheme val="minor"/>
    </font>
    <font>
      <sz val="20"/>
      <color theme="1"/>
      <name val="Calibri"/>
      <family val="2"/>
      <scheme val="minor"/>
    </font>
    <font>
      <sz val="11"/>
      <color rgb="FF000000"/>
      <name val="Calibri"/>
      <family val="2"/>
    </font>
    <font>
      <sz val="24"/>
      <color theme="1"/>
      <name val="Calibri"/>
      <family val="2"/>
      <scheme val="minor"/>
    </font>
    <font>
      <b/>
      <sz val="11"/>
      <color theme="1"/>
      <name val="Calibri"/>
      <family val="2"/>
      <scheme val="minor"/>
    </font>
    <font>
      <sz val="11"/>
      <color rgb="FF000000"/>
      <name val="Calibri"/>
      <family val="2"/>
      <scheme val="minor"/>
    </font>
    <font>
      <sz val="11"/>
      <color rgb="FF9C0006"/>
      <name val="Calibri"/>
      <family val="2"/>
      <scheme val="minor"/>
    </font>
    <font>
      <sz val="11"/>
      <color theme="2" tint="-0.499984740745262"/>
      <name val="Calibri"/>
      <family val="2"/>
      <scheme val="minor"/>
    </font>
    <font>
      <u/>
      <sz val="11"/>
      <color theme="1"/>
      <name val="Calibri"/>
      <family val="2"/>
      <scheme val="minor"/>
    </font>
    <font>
      <sz val="9"/>
      <color indexed="81"/>
      <name val="Tahoma"/>
      <family val="2"/>
    </font>
    <font>
      <b/>
      <sz val="9"/>
      <color indexed="81"/>
      <name val="Tahoma"/>
      <family val="2"/>
    </font>
    <font>
      <u/>
      <sz val="14"/>
      <color theme="1"/>
      <name val="Calibri"/>
      <family val="2"/>
      <scheme val="minor"/>
    </font>
    <font>
      <i/>
      <sz val="11"/>
      <color theme="1"/>
      <name val="Calibri"/>
      <family val="2"/>
      <scheme val="minor"/>
    </font>
  </fonts>
  <fills count="14">
    <fill>
      <patternFill patternType="none"/>
    </fill>
    <fill>
      <patternFill patternType="gray125"/>
    </fill>
    <fill>
      <patternFill patternType="solid">
        <fgColor theme="4" tint="0.79998168889431442"/>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theme="8" tint="0.39997558519241921"/>
        <bgColor indexed="64"/>
      </patternFill>
    </fill>
    <fill>
      <patternFill patternType="solid">
        <fgColor rgb="FFEDEDED"/>
        <bgColor indexed="64"/>
      </patternFill>
    </fill>
    <fill>
      <patternFill patternType="solid">
        <fgColor rgb="FFDDEBF7"/>
        <bgColor indexed="64"/>
      </patternFill>
    </fill>
    <fill>
      <patternFill patternType="solid">
        <fgColor rgb="FFFFC7CE"/>
      </patternFill>
    </fill>
    <fill>
      <patternFill patternType="solid">
        <fgColor rgb="FF8EA9DB"/>
        <bgColor indexed="64"/>
      </patternFill>
    </fill>
    <fill>
      <patternFill patternType="solid">
        <fgColor indexed="42"/>
        <bgColor indexed="64"/>
      </patternFill>
    </fill>
  </fills>
  <borders count="19">
    <border>
      <left/>
      <right/>
      <top/>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top/>
      <bottom style="thin">
        <color auto="1"/>
      </bottom>
      <diagonal/>
    </border>
    <border>
      <left/>
      <right/>
      <top style="thin">
        <color auto="1"/>
      </top>
      <bottom style="thin">
        <color auto="1"/>
      </bottom>
      <diagonal/>
    </border>
    <border>
      <left style="thin">
        <color indexed="64"/>
      </left>
      <right/>
      <top/>
      <bottom style="thin">
        <color auto="1"/>
      </bottom>
      <diagonal/>
    </border>
    <border>
      <left style="thin">
        <color indexed="64"/>
      </left>
      <right/>
      <top style="thin">
        <color auto="1"/>
      </top>
      <bottom style="thin">
        <color auto="1"/>
      </bottom>
      <diagonal/>
    </border>
    <border>
      <left/>
      <right style="thin">
        <color indexed="64"/>
      </right>
      <top/>
      <bottom style="thin">
        <color auto="1"/>
      </bottom>
      <diagonal/>
    </border>
    <border>
      <left/>
      <right style="thin">
        <color indexed="64"/>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s>
  <cellStyleXfs count="2">
    <xf numFmtId="0" fontId="0" fillId="0" borderId="0"/>
    <xf numFmtId="0" fontId="7" fillId="11" borderId="0" applyNumberFormat="0" applyBorder="0" applyAlignment="0" applyProtection="0"/>
  </cellStyleXfs>
  <cellXfs count="100">
    <xf numFmtId="0" fontId="0" fillId="0" borderId="0" xfId="0"/>
    <xf numFmtId="0" fontId="2" fillId="0" borderId="0" xfId="0" applyFont="1" applyAlignment="1">
      <alignment horizontal="left" vertical="center"/>
    </xf>
    <xf numFmtId="0" fontId="0" fillId="2" borderId="0" xfId="0" applyFill="1"/>
    <xf numFmtId="0" fontId="1" fillId="3" borderId="0" xfId="0" applyFont="1" applyFill="1" applyAlignment="1">
      <alignment horizontal="left" vertical="center"/>
    </xf>
    <xf numFmtId="0" fontId="0" fillId="4" borderId="0" xfId="0" applyFill="1"/>
    <xf numFmtId="0" fontId="0" fillId="5" borderId="0" xfId="0" applyFill="1"/>
    <xf numFmtId="0" fontId="0" fillId="4" borderId="0" xfId="0" applyFill="1" applyAlignment="1">
      <alignment horizontal="left"/>
    </xf>
    <xf numFmtId="0" fontId="1" fillId="7" borderId="0" xfId="0" applyFont="1" applyFill="1" applyAlignment="1">
      <alignment horizontal="left" vertical="center"/>
    </xf>
    <xf numFmtId="0" fontId="0" fillId="0" borderId="0" xfId="0" applyAlignment="1">
      <alignment horizontal="left" indent="3"/>
    </xf>
    <xf numFmtId="0" fontId="0" fillId="0" borderId="4" xfId="0" applyBorder="1" applyAlignment="1">
      <alignment horizontal="left" indent="3"/>
    </xf>
    <xf numFmtId="0" fontId="0" fillId="0" borderId="5" xfId="0" applyBorder="1" applyAlignment="1">
      <alignment horizontal="left" indent="3"/>
    </xf>
    <xf numFmtId="0" fontId="0" fillId="0" borderId="6" xfId="0" applyBorder="1"/>
    <xf numFmtId="0" fontId="0" fillId="0" borderId="7" xfId="0" applyBorder="1"/>
    <xf numFmtId="0" fontId="0" fillId="0" borderId="8" xfId="0" applyBorder="1" applyAlignment="1">
      <alignment horizontal="left" indent="3"/>
    </xf>
    <xf numFmtId="0" fontId="0" fillId="0" borderId="9" xfId="0" applyBorder="1" applyAlignment="1">
      <alignment horizontal="left" indent="3"/>
    </xf>
    <xf numFmtId="0" fontId="0" fillId="0" borderId="0" xfId="0" quotePrefix="1"/>
    <xf numFmtId="0" fontId="0" fillId="0" borderId="0" xfId="0" applyAlignment="1">
      <alignment vertical="center"/>
    </xf>
    <xf numFmtId="0" fontId="0" fillId="9" borderId="6" xfId="0" applyFill="1" applyBorder="1" applyAlignment="1">
      <alignment horizontal="left" vertical="center" indent="2"/>
    </xf>
    <xf numFmtId="0" fontId="0" fillId="9" borderId="10" xfId="0" applyFill="1" applyBorder="1" applyAlignment="1">
      <alignment horizontal="left" vertical="center" indent="1"/>
    </xf>
    <xf numFmtId="0" fontId="0" fillId="0" borderId="0" xfId="0" applyAlignment="1">
      <alignment vertical="top"/>
    </xf>
    <xf numFmtId="0" fontId="0" fillId="5" borderId="0" xfId="0" applyFill="1" applyAlignment="1">
      <alignment horizontal="left" vertical="top" wrapText="1"/>
    </xf>
    <xf numFmtId="0" fontId="0" fillId="0" borderId="0" xfId="0" applyFill="1"/>
    <xf numFmtId="0" fontId="0" fillId="0" borderId="10" xfId="0" applyBorder="1" applyAlignment="1">
      <alignment horizontal="left" vertical="center" indent="1"/>
    </xf>
    <xf numFmtId="0" fontId="0" fillId="2" borderId="0" xfId="0" applyFill="1" applyAlignment="1">
      <alignment vertical="top" wrapText="1"/>
    </xf>
    <xf numFmtId="0" fontId="0" fillId="2" borderId="0" xfId="0" applyFill="1" applyAlignment="1">
      <alignment vertical="center"/>
    </xf>
    <xf numFmtId="0" fontId="0" fillId="2" borderId="1" xfId="0" applyFill="1" applyBorder="1" applyAlignment="1" applyProtection="1">
      <alignment horizontal="left" vertical="top"/>
      <protection locked="0"/>
    </xf>
    <xf numFmtId="0" fontId="0" fillId="2" borderId="2" xfId="0" applyFill="1" applyBorder="1" applyAlignment="1" applyProtection="1">
      <alignment horizontal="left" vertical="top"/>
      <protection locked="0"/>
    </xf>
    <xf numFmtId="0" fontId="0" fillId="2" borderId="2" xfId="0" applyFill="1" applyBorder="1" applyAlignment="1" applyProtection="1">
      <alignment horizontal="left" vertical="top" wrapText="1"/>
      <protection locked="0"/>
    </xf>
    <xf numFmtId="0" fontId="0" fillId="2" borderId="3" xfId="0" applyFill="1" applyBorder="1" applyAlignment="1" applyProtection="1">
      <alignment horizontal="left" vertical="top"/>
      <protection locked="0"/>
    </xf>
    <xf numFmtId="0" fontId="0" fillId="0" borderId="0" xfId="0" applyAlignment="1">
      <alignment horizontal="left" vertical="top" wrapText="1"/>
    </xf>
    <xf numFmtId="0" fontId="0" fillId="9" borderId="12" xfId="0" applyFill="1" applyBorder="1" applyAlignment="1">
      <alignment horizontal="left" vertical="center" indent="1"/>
    </xf>
    <xf numFmtId="0" fontId="0" fillId="9" borderId="11" xfId="0" applyFill="1" applyBorder="1" applyAlignment="1">
      <alignment horizontal="left" vertical="top" indent="1"/>
    </xf>
    <xf numFmtId="0" fontId="0" fillId="0" borderId="14" xfId="0" applyBorder="1" applyAlignment="1">
      <alignment horizontal="left" vertical="center" indent="1"/>
    </xf>
    <xf numFmtId="0" fontId="0" fillId="0" borderId="13" xfId="0" applyBorder="1" applyAlignment="1">
      <alignment horizontal="left" vertical="center" indent="1"/>
    </xf>
    <xf numFmtId="0" fontId="0" fillId="0" borderId="0" xfId="0" applyAlignment="1">
      <alignment horizontal="left" vertical="top"/>
    </xf>
    <xf numFmtId="0" fontId="6" fillId="10" borderId="2" xfId="0" applyFont="1" applyFill="1" applyBorder="1" applyAlignment="1" applyProtection="1">
      <alignment horizontal="left" vertical="top" wrapText="1"/>
      <protection locked="0"/>
    </xf>
    <xf numFmtId="0" fontId="0" fillId="2" borderId="2" xfId="0" applyFont="1" applyFill="1" applyBorder="1" applyAlignment="1" applyProtection="1">
      <alignment horizontal="left" vertical="top" wrapText="1"/>
      <protection locked="0"/>
    </xf>
    <xf numFmtId="0" fontId="0" fillId="0" borderId="0" xfId="0" applyAlignment="1">
      <alignment vertical="center" wrapText="1"/>
    </xf>
    <xf numFmtId="0" fontId="0" fillId="9" borderId="10" xfId="0" applyFill="1" applyBorder="1" applyAlignment="1">
      <alignment horizontal="left" vertical="center" wrapText="1" indent="1"/>
    </xf>
    <xf numFmtId="0" fontId="7" fillId="11" borderId="0" xfId="1"/>
    <xf numFmtId="0" fontId="0" fillId="0" borderId="11" xfId="0" applyBorder="1" applyAlignment="1">
      <alignment horizontal="left" vertical="center" indent="1"/>
    </xf>
    <xf numFmtId="0" fontId="5" fillId="0" borderId="12" xfId="0" applyFont="1" applyFill="1" applyBorder="1" applyAlignment="1">
      <alignment horizontal="center" vertical="center"/>
    </xf>
    <xf numFmtId="0" fontId="0" fillId="9" borderId="11" xfId="0" applyFill="1" applyBorder="1" applyAlignment="1">
      <alignment horizontal="left" vertical="top" wrapText="1" indent="1"/>
    </xf>
    <xf numFmtId="0" fontId="6" fillId="0" borderId="0" xfId="0" applyFont="1" applyFill="1" applyAlignment="1">
      <alignment horizontal="left" vertical="top"/>
    </xf>
    <xf numFmtId="14" fontId="0" fillId="0" borderId="11" xfId="0" applyNumberFormat="1" applyBorder="1" applyAlignment="1">
      <alignment horizontal="left" vertical="center" indent="1"/>
    </xf>
    <xf numFmtId="0" fontId="6" fillId="10" borderId="0" xfId="0" applyFont="1" applyFill="1" applyAlignment="1">
      <alignment horizontal="left" vertical="top" wrapText="1"/>
    </xf>
    <xf numFmtId="0" fontId="8" fillId="0" borderId="0" xfId="0" applyFont="1"/>
    <xf numFmtId="0" fontId="6" fillId="0" borderId="0" xfId="0" applyFont="1" applyFill="1" applyAlignment="1">
      <alignment horizontal="left" vertical="top" wrapText="1"/>
    </xf>
    <xf numFmtId="0" fontId="6" fillId="10" borderId="1" xfId="0" applyFont="1" applyFill="1" applyBorder="1" applyAlignment="1" applyProtection="1">
      <alignment horizontal="left" vertical="top"/>
      <protection locked="0"/>
    </xf>
    <xf numFmtId="0" fontId="6" fillId="10" borderId="2" xfId="0" applyFont="1" applyFill="1" applyBorder="1" applyAlignment="1" applyProtection="1">
      <alignment horizontal="left" vertical="top"/>
      <protection locked="0"/>
    </xf>
    <xf numFmtId="0" fontId="6" fillId="10" borderId="3" xfId="0" applyFont="1" applyFill="1" applyBorder="1" applyAlignment="1" applyProtection="1">
      <alignment horizontal="left" vertical="top"/>
      <protection locked="0"/>
    </xf>
    <xf numFmtId="0" fontId="0" fillId="5" borderId="2" xfId="0" applyFill="1" applyBorder="1" applyAlignment="1" applyProtection="1">
      <alignment horizontal="left" vertical="top"/>
    </xf>
    <xf numFmtId="0" fontId="0" fillId="6" borderId="2" xfId="0" applyFill="1" applyBorder="1" applyAlignment="1" applyProtection="1">
      <alignment horizontal="left" vertical="top"/>
    </xf>
    <xf numFmtId="14" fontId="6" fillId="10" borderId="0" xfId="0" applyNumberFormat="1" applyFont="1" applyFill="1" applyAlignment="1">
      <alignment horizontal="left" vertical="top" wrapText="1"/>
    </xf>
    <xf numFmtId="0" fontId="6" fillId="10" borderId="0" xfId="0" applyFont="1" applyFill="1" applyAlignment="1">
      <alignment horizontal="left" vertical="top" wrapText="1"/>
    </xf>
    <xf numFmtId="0" fontId="0" fillId="4" borderId="0" xfId="0" applyFill="1" applyAlignment="1">
      <alignment horizontal="left" indent="3"/>
    </xf>
    <xf numFmtId="0" fontId="0" fillId="0" borderId="0" xfId="0" applyAlignment="1">
      <alignment horizontal="right"/>
    </xf>
    <xf numFmtId="0" fontId="0" fillId="4" borderId="15" xfId="0" applyFill="1" applyBorder="1"/>
    <xf numFmtId="0" fontId="0" fillId="2" borderId="0" xfId="0" applyFill="1" applyAlignment="1">
      <alignment horizontal="left"/>
    </xf>
    <xf numFmtId="0" fontId="6" fillId="10" borderId="0" xfId="0" applyFont="1" applyFill="1" applyAlignment="1">
      <alignment horizontal="left" vertical="top" wrapText="1"/>
    </xf>
    <xf numFmtId="0" fontId="0" fillId="13" borderId="0" xfId="0" applyFill="1"/>
    <xf numFmtId="0" fontId="0" fillId="13" borderId="0" xfId="0" applyFill="1" applyAlignment="1">
      <alignment horizontal="left" indent="3"/>
    </xf>
    <xf numFmtId="0" fontId="0" fillId="9" borderId="0" xfId="0" applyFill="1" applyAlignment="1">
      <alignment horizontal="left" indent="3"/>
    </xf>
    <xf numFmtId="0" fontId="0" fillId="13" borderId="0" xfId="0" applyFill="1" applyAlignment="1">
      <alignment vertical="top" wrapText="1"/>
    </xf>
    <xf numFmtId="0" fontId="0" fillId="0" borderId="0" xfId="0" applyFont="1" applyAlignment="1">
      <alignment horizontal="left" vertical="top" wrapText="1" indent="3"/>
    </xf>
    <xf numFmtId="0" fontId="12" fillId="0" borderId="0" xfId="0" applyFont="1" applyAlignment="1">
      <alignment vertical="top"/>
    </xf>
    <xf numFmtId="0" fontId="0" fillId="12" borderId="0" xfId="0" applyFill="1"/>
    <xf numFmtId="0" fontId="0" fillId="0" borderId="0" xfId="0" applyAlignment="1">
      <alignment horizontal="left"/>
    </xf>
    <xf numFmtId="0" fontId="0" fillId="12" borderId="0" xfId="0" applyFill="1" applyAlignment="1">
      <alignment horizontal="left"/>
    </xf>
    <xf numFmtId="0" fontId="0" fillId="12" borderId="0" xfId="0" applyFill="1" applyAlignment="1">
      <alignment horizontal="left" indent="3"/>
    </xf>
    <xf numFmtId="0" fontId="0" fillId="0" borderId="0" xfId="0" applyAlignment="1">
      <alignment horizontal="left" indent="2"/>
    </xf>
    <xf numFmtId="0" fontId="0" fillId="0" borderId="16" xfId="0" applyBorder="1" applyAlignment="1">
      <alignment horizontal="left" indent="2"/>
    </xf>
    <xf numFmtId="164" fontId="0" fillId="0" borderId="0" xfId="0" applyNumberFormat="1" applyAlignment="1">
      <alignment horizontal="left"/>
    </xf>
    <xf numFmtId="0" fontId="0" fillId="12" borderId="17" xfId="0" applyFill="1" applyBorder="1" applyAlignment="1">
      <alignment horizontal="left" vertical="center" indent="3"/>
    </xf>
    <xf numFmtId="0" fontId="0" fillId="9" borderId="17" xfId="0" applyFill="1" applyBorder="1" applyAlignment="1">
      <alignment horizontal="center"/>
    </xf>
    <xf numFmtId="0" fontId="0" fillId="0" borderId="17" xfId="0" applyBorder="1" applyAlignment="1">
      <alignment vertical="top" wrapText="1"/>
    </xf>
    <xf numFmtId="0" fontId="0" fillId="0" borderId="17" xfId="0" applyFont="1" applyBorder="1" applyAlignment="1">
      <alignment horizontal="left" vertical="top" wrapText="1" indent="3"/>
    </xf>
    <xf numFmtId="0" fontId="0" fillId="12" borderId="18" xfId="0" applyFill="1" applyBorder="1" applyAlignment="1">
      <alignment horizontal="left" vertical="center" indent="3"/>
    </xf>
    <xf numFmtId="0" fontId="6" fillId="10" borderId="0" xfId="0" applyFont="1" applyFill="1" applyAlignment="1">
      <alignment horizontal="left" vertical="top" wrapText="1"/>
    </xf>
    <xf numFmtId="0" fontId="5" fillId="8" borderId="7" xfId="0" applyFont="1" applyFill="1" applyBorder="1" applyAlignment="1">
      <alignment horizontal="center" vertical="center"/>
    </xf>
    <xf numFmtId="0" fontId="5" fillId="8" borderId="5" xfId="0" applyFont="1" applyFill="1" applyBorder="1" applyAlignment="1">
      <alignment horizontal="center" vertical="center"/>
    </xf>
    <xf numFmtId="0" fontId="5" fillId="8" borderId="9" xfId="0" applyFont="1" applyFill="1" applyBorder="1" applyAlignment="1">
      <alignment horizontal="center" vertical="center"/>
    </xf>
    <xf numFmtId="0" fontId="0" fillId="0" borderId="11" xfId="0" applyBorder="1" applyAlignment="1">
      <alignment horizontal="left" vertical="top" wrapText="1" indent="1"/>
    </xf>
    <xf numFmtId="0" fontId="0" fillId="0" borderId="10" xfId="0" applyBorder="1" applyAlignment="1">
      <alignment horizontal="left" vertical="center" wrapText="1" indent="1"/>
    </xf>
    <xf numFmtId="0" fontId="4" fillId="0" borderId="0" xfId="0" applyFont="1" applyAlignment="1">
      <alignment horizontal="center"/>
    </xf>
    <xf numFmtId="0" fontId="0" fillId="0" borderId="7" xfId="0" applyBorder="1" applyAlignment="1">
      <alignment horizontal="left" vertical="center" indent="1"/>
    </xf>
    <xf numFmtId="0" fontId="0" fillId="0" borderId="9" xfId="0" applyBorder="1" applyAlignment="1">
      <alignment horizontal="left" vertical="center" indent="1"/>
    </xf>
    <xf numFmtId="0" fontId="4" fillId="0" borderId="0" xfId="0" applyFont="1" applyAlignment="1">
      <alignment horizontal="center" wrapText="1"/>
    </xf>
    <xf numFmtId="0" fontId="2" fillId="0" borderId="0" xfId="0" applyFont="1" applyAlignment="1">
      <alignment horizontal="center" wrapText="1"/>
    </xf>
    <xf numFmtId="0" fontId="0" fillId="8" borderId="7" xfId="0" applyFill="1" applyBorder="1" applyAlignment="1">
      <alignment horizontal="center" vertical="center"/>
    </xf>
    <xf numFmtId="0" fontId="0" fillId="8" borderId="5" xfId="0" applyFill="1" applyBorder="1" applyAlignment="1">
      <alignment horizontal="center" vertical="center"/>
    </xf>
    <xf numFmtId="0" fontId="0" fillId="8" borderId="9" xfId="0" applyFill="1" applyBorder="1" applyAlignment="1">
      <alignment horizontal="center" vertical="center"/>
    </xf>
    <xf numFmtId="0" fontId="6" fillId="10" borderId="0" xfId="0" applyFont="1" applyFill="1" applyAlignment="1">
      <alignment horizontal="left" vertical="top" wrapText="1"/>
    </xf>
    <xf numFmtId="0" fontId="13" fillId="0" borderId="0" xfId="0" applyFont="1" applyAlignment="1">
      <alignment vertical="top" wrapText="1"/>
    </xf>
    <xf numFmtId="0" fontId="0" fillId="9" borderId="17" xfId="0" applyFill="1" applyBorder="1" applyAlignment="1">
      <alignment vertical="top"/>
    </xf>
    <xf numFmtId="0" fontId="0" fillId="0" borderId="17" xfId="0" applyBorder="1"/>
    <xf numFmtId="0" fontId="0" fillId="0" borderId="18" xfId="0" applyBorder="1"/>
    <xf numFmtId="0" fontId="0" fillId="12" borderId="17" xfId="0" applyFill="1" applyBorder="1" applyAlignment="1">
      <alignment horizontal="center" vertical="center"/>
    </xf>
    <xf numFmtId="0" fontId="2" fillId="0" borderId="0" xfId="0" applyFont="1" applyAlignment="1">
      <alignment horizontal="center"/>
    </xf>
    <xf numFmtId="0" fontId="0" fillId="0" borderId="0" xfId="0" applyAlignment="1">
      <alignment horizontal="center"/>
    </xf>
  </cellXfs>
  <cellStyles count="2">
    <cellStyle name="Ongeldig" xfId="1" builtinId="27"/>
    <cellStyle name="Standaard" xfId="0" builtinId="0"/>
  </cellStyles>
  <dxfs count="24">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s>
  <tableStyles count="0" defaultTableStyle="TableStyleMedium2" defaultPivotStyle="PivotStyleLight16"/>
  <colors>
    <mruColors>
      <color rgb="FFEDEDE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CheckBox" fmlaLink="$D$29"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B1-K3-W1'!$I$24" lockText="1" noThreeD="1"/>
</file>

<file path=xl/ctrlProps/ctrlProp5.xml><?xml version="1.0" encoding="utf-8"?>
<formControlPr xmlns="http://schemas.microsoft.com/office/spreadsheetml/2009/9/main" objectType="CheckBox" fmlaLink="'B1-K3-W1'!$J$24" lockText="1" noThreeD="1"/>
</file>

<file path=xl/ctrlProps/ctrlProp6.xml><?xml version="1.0" encoding="utf-8"?>
<formControlPr xmlns="http://schemas.microsoft.com/office/spreadsheetml/2009/9/main" objectType="CheckBox" fmlaLink="'B1-K3-W1'!$K$24" lockText="1" noThreeD="1"/>
</file>

<file path=xl/ctrlProps/ctrlProp7.xml><?xml version="1.0" encoding="utf-8"?>
<formControlPr xmlns="http://schemas.microsoft.com/office/spreadsheetml/2009/9/main" objectType="CheckBox" fmlaLink="'B1-K3-W1'!$L$24" lockText="1" noThreeD="1"/>
</file>

<file path=xl/ctrlProps/ctrlProp8.xml><?xml version="1.0" encoding="utf-8"?>
<formControlPr xmlns="http://schemas.microsoft.com/office/spreadsheetml/2009/9/main" objectType="CheckBox" fmlaLink="'B1-K3-W1'!$I$25" lockText="1" noThreeD="1"/>
</file>

<file path=xl/ctrlProps/ctrlProp9.xml><?xml version="1.0" encoding="utf-8"?>
<formControlPr xmlns="http://schemas.microsoft.com/office/spreadsheetml/2009/9/main" objectType="CheckBox" fmlaLink="'B1-K3-W1'!$J$25" lockText="1" noThreeD="1"/>
</file>

<file path=xl/ctrlProps/ctrlProp10.xml><?xml version="1.0" encoding="utf-8"?>
<formControlPr xmlns="http://schemas.microsoft.com/office/spreadsheetml/2009/9/main" objectType="CheckBox" fmlaLink="'B1-K3-W1'!$K$25" lockText="1" noThreeD="1"/>
</file>

<file path=xl/ctrlProps/ctrlProp11.xml><?xml version="1.0" encoding="utf-8"?>
<formControlPr xmlns="http://schemas.microsoft.com/office/spreadsheetml/2009/9/main" objectType="CheckBox" fmlaLink="'B1-K3-W1'!$L$25" lockText="1" noThreeD="1"/>
</file>

<file path=xl/ctrlProps/ctrlProp12.xml><?xml version="1.0" encoding="utf-8"?>
<formControlPr xmlns="http://schemas.microsoft.com/office/spreadsheetml/2009/9/main" objectType="CheckBox" fmlaLink="'B1-K3-W1'!$I$26" lockText="1" noThreeD="1"/>
</file>

<file path=xl/ctrlProps/ctrlProp13.xml><?xml version="1.0" encoding="utf-8"?>
<formControlPr xmlns="http://schemas.microsoft.com/office/spreadsheetml/2009/9/main" objectType="CheckBox" fmlaLink="'B1-K3-W1'!$J$26" lockText="1" noThreeD="1"/>
</file>

<file path=xl/ctrlProps/ctrlProp14.xml><?xml version="1.0" encoding="utf-8"?>
<formControlPr xmlns="http://schemas.microsoft.com/office/spreadsheetml/2009/9/main" objectType="CheckBox" fmlaLink="'B1-K3-W1'!$K$26" lockText="1" noThreeD="1"/>
</file>

<file path=xl/ctrlProps/ctrlProp15.xml><?xml version="1.0" encoding="utf-8"?>
<formControlPr xmlns="http://schemas.microsoft.com/office/spreadsheetml/2009/9/main" objectType="CheckBox" fmlaLink="'B1-K3-W1'!$L$26" lockText="1" noThreeD="1"/>
</file>

<file path=xl/ctrlProps/ctrlProp16.xml><?xml version="1.0" encoding="utf-8"?>
<formControlPr xmlns="http://schemas.microsoft.com/office/spreadsheetml/2009/9/main" objectType="CheckBox" fmlaLink="'B1-K3-W1'!$I$31" lockText="1" noThreeD="1"/>
</file>

<file path=xl/ctrlProps/ctrlProp17.xml><?xml version="1.0" encoding="utf-8"?>
<formControlPr xmlns="http://schemas.microsoft.com/office/spreadsheetml/2009/9/main" objectType="CheckBox" fmlaLink="'B1-K3-W1'!$J$31" lockText="1" noThreeD="1"/>
</file>

<file path=xl/ctrlProps/ctrlProp18.xml><?xml version="1.0" encoding="utf-8"?>
<formControlPr xmlns="http://schemas.microsoft.com/office/spreadsheetml/2009/9/main" objectType="CheckBox" fmlaLink="'B1-K3-W1'!$K$31" lockText="1" noThreeD="1"/>
</file>

<file path=xl/ctrlProps/ctrlProp19.xml><?xml version="1.0" encoding="utf-8"?>
<formControlPr xmlns="http://schemas.microsoft.com/office/spreadsheetml/2009/9/main" objectType="CheckBox" fmlaLink="'B1-K3-W1'!$L$31" lockText="1" noThreeD="1"/>
</file>

<file path=xl/ctrlProps/ctrlProp20.xml><?xml version="1.0" encoding="utf-8"?>
<formControlPr xmlns="http://schemas.microsoft.com/office/spreadsheetml/2009/9/main" objectType="CheckBox" fmlaLink="'B1-K3-W1'!$I$32" lockText="1" noThreeD="1"/>
</file>

<file path=xl/ctrlProps/ctrlProp21.xml><?xml version="1.0" encoding="utf-8"?>
<formControlPr xmlns="http://schemas.microsoft.com/office/spreadsheetml/2009/9/main" objectType="CheckBox" fmlaLink="'B1-K3-W1'!$J$32" lockText="1" noThreeD="1"/>
</file>

<file path=xl/ctrlProps/ctrlProp22.xml><?xml version="1.0" encoding="utf-8"?>
<formControlPr xmlns="http://schemas.microsoft.com/office/spreadsheetml/2009/9/main" objectType="CheckBox" fmlaLink="'B1-K3-W1'!$K$32" lockText="1" noThreeD="1"/>
</file>

<file path=xl/ctrlProps/ctrlProp23.xml><?xml version="1.0" encoding="utf-8"?>
<formControlPr xmlns="http://schemas.microsoft.com/office/spreadsheetml/2009/9/main" objectType="CheckBox" fmlaLink="'B1-K3-W1'!$L$32" lockText="1" noThreeD="1"/>
</file>

<file path=xl/ctrlProps/ctrlProp24.xml><?xml version="1.0" encoding="utf-8"?>
<formControlPr xmlns="http://schemas.microsoft.com/office/spreadsheetml/2009/9/main" objectType="CheckBox" fmlaLink="'B1-K3-W1'!$I$33" lockText="1" noThreeD="1"/>
</file>

<file path=xl/ctrlProps/ctrlProp25.xml><?xml version="1.0" encoding="utf-8"?>
<formControlPr xmlns="http://schemas.microsoft.com/office/spreadsheetml/2009/9/main" objectType="CheckBox" fmlaLink="'B1-K3-W1'!$J$33" lockText="1" noThreeD="1"/>
</file>

<file path=xl/ctrlProps/ctrlProp26.xml><?xml version="1.0" encoding="utf-8"?>
<formControlPr xmlns="http://schemas.microsoft.com/office/spreadsheetml/2009/9/main" objectType="CheckBox" fmlaLink="'B1-K3-W1'!$K$33" lockText="1" noThreeD="1"/>
</file>

<file path=xl/ctrlProps/ctrlProp27.xml><?xml version="1.0" encoding="utf-8"?>
<formControlPr xmlns="http://schemas.microsoft.com/office/spreadsheetml/2009/9/main" objectType="CheckBox" fmlaLink="'B1-K3-W1'!$L$33" lockText="1" noThreeD="1"/>
</file>

<file path=xl/ctrlProps/ctrlProp28.xml><?xml version="1.0" encoding="utf-8"?>
<formControlPr xmlns="http://schemas.microsoft.com/office/spreadsheetml/2009/9/main" objectType="CheckBox" fmlaLink="'B1-K3-W1'!$I$34" lockText="1" noThreeD="1"/>
</file>

<file path=xl/ctrlProps/ctrlProp29.xml><?xml version="1.0" encoding="utf-8"?>
<formControlPr xmlns="http://schemas.microsoft.com/office/spreadsheetml/2009/9/main" objectType="CheckBox" fmlaLink="'B1-K3-W1'!$J$34" lockText="1" noThreeD="1"/>
</file>

<file path=xl/ctrlProps/ctrlProp30.xml><?xml version="1.0" encoding="utf-8"?>
<formControlPr xmlns="http://schemas.microsoft.com/office/spreadsheetml/2009/9/main" objectType="CheckBox" fmlaLink="'B1-K3-W1'!$K$34" lockText="1" noThreeD="1"/>
</file>

<file path=xl/ctrlProps/ctrlProp31.xml><?xml version="1.0" encoding="utf-8"?>
<formControlPr xmlns="http://schemas.microsoft.com/office/spreadsheetml/2009/9/main" objectType="CheckBox" fmlaLink="'B1-K3-W1'!$L$34" lockText="1" noThreeD="1"/>
</file>

<file path=xl/ctrlProps/ctrlProp32.xml><?xml version="1.0" encoding="utf-8"?>
<formControlPr xmlns="http://schemas.microsoft.com/office/spreadsheetml/2009/9/main" objectType="CheckBox" fmlaLink="'B1-K3-W1'!$I$35" lockText="1" noThreeD="1"/>
</file>

<file path=xl/ctrlProps/ctrlProp33.xml><?xml version="1.0" encoding="utf-8"?>
<formControlPr xmlns="http://schemas.microsoft.com/office/spreadsheetml/2009/9/main" objectType="CheckBox" fmlaLink="'B1-K3-W1'!$J$35" lockText="1" noThreeD="1"/>
</file>

<file path=xl/ctrlProps/ctrlProp34.xml><?xml version="1.0" encoding="utf-8"?>
<formControlPr xmlns="http://schemas.microsoft.com/office/spreadsheetml/2009/9/main" objectType="CheckBox" fmlaLink="'B1-K3-W1'!$K$35" lockText="1" noThreeD="1"/>
</file>

<file path=xl/ctrlProps/ctrlProp35.xml><?xml version="1.0" encoding="utf-8"?>
<formControlPr xmlns="http://schemas.microsoft.com/office/spreadsheetml/2009/9/main" objectType="CheckBox" fmlaLink="'B1-K3-W1'!$L$35" lockText="1" noThreeD="1"/>
</file>

<file path=xl/ctrlProps/ctrlProp36.xml><?xml version="1.0" encoding="utf-8"?>
<formControlPr xmlns="http://schemas.microsoft.com/office/spreadsheetml/2009/9/main" objectType="CheckBox" fmlaLink="'B1-K3-W1'!$I$36" lockText="1" noThreeD="1"/>
</file>

<file path=xl/ctrlProps/ctrlProp37.xml><?xml version="1.0" encoding="utf-8"?>
<formControlPr xmlns="http://schemas.microsoft.com/office/spreadsheetml/2009/9/main" objectType="CheckBox" fmlaLink="'B1-K3-W1'!$J$36" lockText="1" noThreeD="1"/>
</file>

<file path=xl/ctrlProps/ctrlProp38.xml><?xml version="1.0" encoding="utf-8"?>
<formControlPr xmlns="http://schemas.microsoft.com/office/spreadsheetml/2009/9/main" objectType="CheckBox" fmlaLink="'B1-K3-W1'!$H$42" lockText="1" noThreeD="1"/>
</file>

<file path=xl/ctrlProps/ctrlProp39.xml><?xml version="1.0" encoding="utf-8"?>
<formControlPr xmlns="http://schemas.microsoft.com/office/spreadsheetml/2009/9/main" objectType="CheckBox" checked="Checked" fmlaLink="'B1-K3-W1'!$I$42" lockText="1" noThreeD="1"/>
</file>

<file path=xl/ctrlProps/ctrlProp40.xml><?xml version="1.0" encoding="utf-8"?>
<formControlPr xmlns="http://schemas.microsoft.com/office/spreadsheetml/2009/9/main" objectType="CheckBox" fmlaLink="'B1-K3-W1'!$H$43" lockText="1" noThreeD="1"/>
</file>

<file path=xl/ctrlProps/ctrlProp41.xml><?xml version="1.0" encoding="utf-8"?>
<formControlPr xmlns="http://schemas.microsoft.com/office/spreadsheetml/2009/9/main" objectType="CheckBox" checked="Checked" fmlaLink="'B1-K3-W1'!$I$43" lockText="1" noThreeD="1"/>
</file>

<file path=xl/ctrlProps/ctrlProp42.xml><?xml version="1.0" encoding="utf-8"?>
<formControlPr xmlns="http://schemas.microsoft.com/office/spreadsheetml/2009/9/main" objectType="CheckBox" fmlaLink="'B1-K3-W1'!$H$44" lockText="1" noThreeD="1"/>
</file>

<file path=xl/ctrlProps/ctrlProp43.xml><?xml version="1.0" encoding="utf-8"?>
<formControlPr xmlns="http://schemas.microsoft.com/office/spreadsheetml/2009/9/main" objectType="CheckBox" checked="Checked" fmlaLink="'B1-K3-W1'!$I$44" lockText="1" noThreeD="1"/>
</file>

<file path=xl/ctrlProps/ctrlProp44.xml><?xml version="1.0" encoding="utf-8"?>
<formControlPr xmlns="http://schemas.microsoft.com/office/spreadsheetml/2009/9/main" objectType="CheckBox" fmlaLink="'B1-K3-W1'!$H$48" lockText="1" noThreeD="1"/>
</file>

<file path=xl/ctrlProps/ctrlProp45.xml><?xml version="1.0" encoding="utf-8"?>
<formControlPr xmlns="http://schemas.microsoft.com/office/spreadsheetml/2009/9/main" objectType="CheckBox" checked="Checked" fmlaLink="'B1-K3-W1'!$H$49" lockText="1" noThreeD="1"/>
</file>

<file path=xl/ctrlProps/ctrlProp46.xml><?xml version="1.0" encoding="utf-8"?>
<formControlPr xmlns="http://schemas.microsoft.com/office/spreadsheetml/2009/9/main" objectType="CheckBox" fmlaLink="'B1-K3-W2'!$I$24" lockText="1" noThreeD="1"/>
</file>

<file path=xl/ctrlProps/ctrlProp47.xml><?xml version="1.0" encoding="utf-8"?>
<formControlPr xmlns="http://schemas.microsoft.com/office/spreadsheetml/2009/9/main" objectType="CheckBox" fmlaLink="'B1-K3-W2'!$J$24" lockText="1" noThreeD="1"/>
</file>

<file path=xl/ctrlProps/ctrlProp48.xml><?xml version="1.0" encoding="utf-8"?>
<formControlPr xmlns="http://schemas.microsoft.com/office/spreadsheetml/2009/9/main" objectType="CheckBox" fmlaLink="'B1-K3-W2'!$I$25" lockText="1" noThreeD="1"/>
</file>

<file path=xl/ctrlProps/ctrlProp49.xml><?xml version="1.0" encoding="utf-8"?>
<formControlPr xmlns="http://schemas.microsoft.com/office/spreadsheetml/2009/9/main" objectType="CheckBox" fmlaLink="'B1-K3-W2'!$J$25" lockText="1" noThreeD="1"/>
</file>

<file path=xl/ctrlProps/ctrlProp50.xml><?xml version="1.0" encoding="utf-8"?>
<formControlPr xmlns="http://schemas.microsoft.com/office/spreadsheetml/2009/9/main" objectType="CheckBox" fmlaLink="'B1-K3-W2'!$I$26" lockText="1" noThreeD="1"/>
</file>

<file path=xl/ctrlProps/ctrlProp51.xml><?xml version="1.0" encoding="utf-8"?>
<formControlPr xmlns="http://schemas.microsoft.com/office/spreadsheetml/2009/9/main" objectType="CheckBox" fmlaLink="'B1-K3-W2'!$J$26" lockText="1" noThreeD="1"/>
</file>

<file path=xl/ctrlProps/ctrlProp52.xml><?xml version="1.0" encoding="utf-8"?>
<formControlPr xmlns="http://schemas.microsoft.com/office/spreadsheetml/2009/9/main" objectType="CheckBox" fmlaLink="'B1-K3-W2'!$K$26" lockText="1" noThreeD="1"/>
</file>

<file path=xl/ctrlProps/ctrlProp53.xml><?xml version="1.0" encoding="utf-8"?>
<formControlPr xmlns="http://schemas.microsoft.com/office/spreadsheetml/2009/9/main" objectType="CheckBox" fmlaLink="'B1-K3-W2'!$L$26" lockText="1" noThreeD="1"/>
</file>

<file path=xl/ctrlProps/ctrlProp54.xml><?xml version="1.0" encoding="utf-8"?>
<formControlPr xmlns="http://schemas.microsoft.com/office/spreadsheetml/2009/9/main" objectType="CheckBox" fmlaLink="'B1-K3-W2'!$I$27" lockText="1" noThreeD="1"/>
</file>

<file path=xl/ctrlProps/ctrlProp55.xml><?xml version="1.0" encoding="utf-8"?>
<formControlPr xmlns="http://schemas.microsoft.com/office/spreadsheetml/2009/9/main" objectType="CheckBox" fmlaLink="'B1-K3-W2'!$J$27" lockText="1" noThreeD="1"/>
</file>

<file path=xl/ctrlProps/ctrlProp56.xml><?xml version="1.0" encoding="utf-8"?>
<formControlPr xmlns="http://schemas.microsoft.com/office/spreadsheetml/2009/9/main" objectType="CheckBox" fmlaLink="'B1-K3-W2'!$K$27" lockText="1" noThreeD="1"/>
</file>

<file path=xl/ctrlProps/ctrlProp57.xml><?xml version="1.0" encoding="utf-8"?>
<formControlPr xmlns="http://schemas.microsoft.com/office/spreadsheetml/2009/9/main" objectType="CheckBox" fmlaLink="'B1-K3-W2'!$L$27" lockText="1" noThreeD="1"/>
</file>

<file path=xl/ctrlProps/ctrlProp58.xml><?xml version="1.0" encoding="utf-8"?>
<formControlPr xmlns="http://schemas.microsoft.com/office/spreadsheetml/2009/9/main" objectType="CheckBox" fmlaLink="'B1-K3-W3'!$I$24" lockText="1" noThreeD="1"/>
</file>

<file path=xl/ctrlProps/ctrlProp59.xml><?xml version="1.0" encoding="utf-8"?>
<formControlPr xmlns="http://schemas.microsoft.com/office/spreadsheetml/2009/9/main" objectType="CheckBox" fmlaLink="'B1-K3-W3'!$J$24" lockText="1" noThreeD="1"/>
</file>

<file path=xl/ctrlProps/ctrlProp60.xml><?xml version="1.0" encoding="utf-8"?>
<formControlPr xmlns="http://schemas.microsoft.com/office/spreadsheetml/2009/9/main" objectType="CheckBox" fmlaLink="'B1-K3-W3'!$K$24" lockText="1" noThreeD="1"/>
</file>

<file path=xl/ctrlProps/ctrlProp61.xml><?xml version="1.0" encoding="utf-8"?>
<formControlPr xmlns="http://schemas.microsoft.com/office/spreadsheetml/2009/9/main" objectType="CheckBox" fmlaLink="'B1-K3-W3'!$L$24" lockText="1" noThreeD="1"/>
</file>

<file path=xl/ctrlProps/ctrlProp62.xml><?xml version="1.0" encoding="utf-8"?>
<formControlPr xmlns="http://schemas.microsoft.com/office/spreadsheetml/2009/9/main" objectType="CheckBox" fmlaLink="'B1-K3-W3'!$I$25" lockText="1" noThreeD="1"/>
</file>

<file path=xl/ctrlProps/ctrlProp63.xml><?xml version="1.0" encoding="utf-8"?>
<formControlPr xmlns="http://schemas.microsoft.com/office/spreadsheetml/2009/9/main" objectType="CheckBox" fmlaLink="'B1-K3-W3'!$J$25" lockText="1" noThreeD="1"/>
</file>

<file path=xl/ctrlProps/ctrlProp64.xml><?xml version="1.0" encoding="utf-8"?>
<formControlPr xmlns="http://schemas.microsoft.com/office/spreadsheetml/2009/9/main" objectType="CheckBox" fmlaLink="'B1-K3-W3'!$K$25" lockText="1" noThreeD="1"/>
</file>

<file path=xl/ctrlProps/ctrlProp65.xml><?xml version="1.0" encoding="utf-8"?>
<formControlPr xmlns="http://schemas.microsoft.com/office/spreadsheetml/2009/9/main" objectType="CheckBox" fmlaLink="'B1-K3-W3'!$L$25" lockText="1" noThreeD="1"/>
</file>

<file path=xl/ctrlProps/ctrlProp66.xml><?xml version="1.0" encoding="utf-8"?>
<formControlPr xmlns="http://schemas.microsoft.com/office/spreadsheetml/2009/9/main" objectType="CheckBox" fmlaLink="'B1-K3-W3'!$I$26" lockText="1" noThreeD="1"/>
</file>

<file path=xl/ctrlProps/ctrlProp67.xml><?xml version="1.0" encoding="utf-8"?>
<formControlPr xmlns="http://schemas.microsoft.com/office/spreadsheetml/2009/9/main" objectType="CheckBox" fmlaLink="'B1-K3-W3'!$J$26" lockText="1" noThreeD="1"/>
</file>

<file path=xl/ctrlProps/ctrlProp68.xml><?xml version="1.0" encoding="utf-8"?>
<formControlPr xmlns="http://schemas.microsoft.com/office/spreadsheetml/2009/9/main" objectType="CheckBox" fmlaLink="'B1-K3-W3'!$K$26" lockText="1" noThreeD="1"/>
</file>

<file path=xl/ctrlProps/ctrlProp69.xml><?xml version="1.0" encoding="utf-8"?>
<formControlPr xmlns="http://schemas.microsoft.com/office/spreadsheetml/2009/9/main" objectType="CheckBox" fmlaLink="'B1-K3-W3'!$L$26" lockText="1" noThreeD="1"/>
</file>

<file path=xl/ctrlProps/ctrlProp70.xml><?xml version="1.0" encoding="utf-8"?>
<formControlPr xmlns="http://schemas.microsoft.com/office/spreadsheetml/2009/9/main" objectType="CheckBox" fmlaLink="'B1-K3-W3'!$I$27" lockText="1" noThreeD="1"/>
</file>

<file path=xl/ctrlProps/ctrlProp71.xml><?xml version="1.0" encoding="utf-8"?>
<formControlPr xmlns="http://schemas.microsoft.com/office/spreadsheetml/2009/9/main" objectType="CheckBox" fmlaLink="'B1-K3-W3'!$J$27"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152400</xdr:colOff>
          <xdr:row>28</xdr:row>
          <xdr:rowOff>0</xdr:rowOff>
        </xdr:from>
        <xdr:to>
          <xdr:col>1</xdr:col>
          <xdr:colOff>1076325</xdr:colOff>
          <xdr:row>29</xdr:row>
          <xdr:rowOff>19050</xdr:rowOff>
        </xdr:to>
        <xdr:sp macro="" textlink="">
          <xdr:nvSpPr>
            <xdr:cNvPr id="9217" name="Check Box 1" hidden="1">
              <a:extLst>
                <a:ext uri="{63B3BB69-23CF-44E3-9099-C40C66FF867C}">
                  <a14:compatExt spid="_x0000_s9217"/>
                </a:ext>
              </a:extLst>
            </xdr:cNvPr>
            <xdr:cNvSpPr/>
          </xdr:nvSpPr>
          <xdr:spPr>
            <a:xfrm>
              <a:off x="0" y="0"/>
              <a:ext cx="0" cy="0"/>
            </a:xfrm>
            <a:prstGeom prst="rect">
              <a:avLst/>
            </a:prstGeom>
          </xdr:spPr>
        </xdr:sp>
        <xdr:clientData/>
      </xdr:twoCellAnchor>
    </mc:Choice>
    <mc:Fallback/>
  </mc:AlternateContent>
  <xdr:twoCellAnchor>
    <xdr:from>
      <xdr:col>7</xdr:col>
      <xdr:colOff>0</xdr:colOff>
      <xdr:row>3</xdr:row>
      <xdr:rowOff>0</xdr:rowOff>
    </xdr:from>
    <xdr:to>
      <xdr:col>16</xdr:col>
      <xdr:colOff>85725</xdr:colOff>
      <xdr:row>27</xdr:row>
      <xdr:rowOff>0</xdr:rowOff>
    </xdr:to>
    <xdr:sp macro="" textlink="">
      <xdr:nvSpPr>
        <xdr:cNvPr id="2" name="Tekstvak 1">
          <a:extLst>
            <a:ext uri="{FF2B5EF4-FFF2-40B4-BE49-F238E27FC236}">
              <a16:creationId xmlns:a16="http://schemas.microsoft.com/office/drawing/2014/main" xmlns="" id="{C9D6F952-2BE0-4987-9FC2-7C9536E6A7CA}"/>
            </a:ext>
          </a:extLst>
        </xdr:cNvPr>
        <xdr:cNvSpPr txBox="1"/>
      </xdr:nvSpPr>
      <xdr:spPr>
        <a:xfrm>
          <a:off x="8505825" y="657225"/>
          <a:ext cx="5572125" cy="4572000"/>
        </a:xfrm>
        <a:prstGeom prst="rect">
          <a:avLst/>
        </a:prstGeom>
        <a:solidFill>
          <a:schemeClr val="accent3">
            <a:lumMod val="20000"/>
            <a:lumOff val="80000"/>
          </a:schemeClr>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400" b="1">
              <a:solidFill>
                <a:schemeClr val="tx1">
                  <a:lumMod val="50000"/>
                  <a:lumOff val="50000"/>
                </a:schemeClr>
              </a:solidFill>
            </a:rPr>
            <a:t>INSTRUCTIES</a:t>
          </a:r>
          <a:r>
            <a:rPr lang="nl-NL" sz="1400" b="1" baseline="0">
              <a:solidFill>
                <a:schemeClr val="tx1">
                  <a:lumMod val="50000"/>
                  <a:lumOff val="50000"/>
                </a:schemeClr>
              </a:solidFill>
            </a:rPr>
            <a:t> VOOR INVULLEN</a:t>
          </a:r>
          <a:br>
            <a:rPr lang="nl-NL" sz="1400" b="1" baseline="0">
              <a:solidFill>
                <a:schemeClr val="tx1">
                  <a:lumMod val="50000"/>
                  <a:lumOff val="50000"/>
                </a:schemeClr>
              </a:solidFill>
            </a:rPr>
          </a:br>
          <a:r>
            <a:rPr lang="nl-NL" sz="1400" b="1" baseline="0">
              <a:solidFill>
                <a:schemeClr val="tx1">
                  <a:lumMod val="50000"/>
                  <a:lumOff val="50000"/>
                </a:schemeClr>
              </a:solidFill>
            </a:rPr>
            <a:t/>
          </a:r>
          <a:br>
            <a:rPr lang="nl-NL" sz="1400" b="1" baseline="0">
              <a:solidFill>
                <a:schemeClr val="tx1">
                  <a:lumMod val="50000"/>
                  <a:lumOff val="50000"/>
                </a:schemeClr>
              </a:solidFill>
            </a:rPr>
          </a:br>
          <a:r>
            <a:rPr lang="nl-NL" sz="1400" b="1" baseline="0">
              <a:solidFill>
                <a:schemeClr val="tx1">
                  <a:lumMod val="50000"/>
                  <a:lumOff val="50000"/>
                </a:schemeClr>
              </a:solidFill>
            </a:rPr>
            <a:t>Regeleindes</a:t>
          </a:r>
          <a:br>
            <a:rPr lang="nl-NL" sz="1400" b="1" baseline="0">
              <a:solidFill>
                <a:schemeClr val="tx1">
                  <a:lumMod val="50000"/>
                  <a:lumOff val="50000"/>
                </a:schemeClr>
              </a:solidFill>
            </a:rPr>
          </a:br>
          <a:r>
            <a:rPr lang="nl-NL" sz="1400" b="0" baseline="0">
              <a:solidFill>
                <a:schemeClr val="tx1">
                  <a:lumMod val="50000"/>
                  <a:lumOff val="50000"/>
                </a:schemeClr>
              </a:solidFill>
            </a:rPr>
            <a:t>Het afbreken van de regel van de kerntaaknaam, werkprocesnaam, profielnaam en crebocodes kan bepaald worden door een enter te plaatsen (via ALT+ENTER in de cel).</a:t>
          </a:r>
          <a:br>
            <a:rPr lang="nl-NL" sz="1400" b="0" baseline="0">
              <a:solidFill>
                <a:schemeClr val="tx1">
                  <a:lumMod val="50000"/>
                  <a:lumOff val="50000"/>
                </a:schemeClr>
              </a:solidFill>
            </a:rPr>
          </a:br>
          <a:r>
            <a:rPr lang="nl-NL" sz="1400" b="0" baseline="0">
              <a:solidFill>
                <a:schemeClr val="tx1">
                  <a:lumMod val="50000"/>
                  <a:lumOff val="50000"/>
                </a:schemeClr>
              </a:solidFill>
            </a:rPr>
            <a:t/>
          </a:r>
          <a:br>
            <a:rPr lang="nl-NL" sz="1400" b="0" baseline="0">
              <a:solidFill>
                <a:schemeClr val="tx1">
                  <a:lumMod val="50000"/>
                  <a:lumOff val="50000"/>
                </a:schemeClr>
              </a:solidFill>
            </a:rPr>
          </a:br>
          <a:endParaRPr lang="nl-NL" sz="1400" b="1" baseline="0">
            <a:solidFill>
              <a:schemeClr val="tx1">
                <a:lumMod val="50000"/>
                <a:lumOff val="50000"/>
              </a:schemeClr>
            </a:solidFill>
          </a:endParaRPr>
        </a:p>
        <a:p>
          <a:endParaRPr lang="nl-NL" sz="1400" b="1" baseline="0">
            <a:solidFill>
              <a:schemeClr val="tx1">
                <a:lumMod val="50000"/>
                <a:lumOff val="50000"/>
              </a:schemeClr>
            </a:solidFill>
          </a:endParaRPr>
        </a:p>
        <a:p>
          <a:endParaRPr lang="nl-NL" sz="1400" b="0">
            <a:solidFill>
              <a:schemeClr val="tx1">
                <a:lumMod val="50000"/>
                <a:lumOff val="50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57150</xdr:rowOff>
        </xdr:from>
        <xdr:to>
          <xdr:col>7</xdr:col>
          <xdr:colOff>0</xdr:colOff>
          <xdr:row>0</xdr:row>
          <xdr:rowOff>333375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nl-NL" sz="1100" b="0" i="0" u="none" strike="noStrike" baseline="0">
                  <a:solidFill>
                    <a:srgbClr val="000000"/>
                  </a:solidFill>
                  <a:latin typeface="Calibri"/>
                </a:rPr>
                <a:t>Genereren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66675</xdr:colOff>
          <xdr:row>0</xdr:row>
          <xdr:rowOff>57150</xdr:rowOff>
        </xdr:from>
        <xdr:to>
          <xdr:col>8</xdr:col>
          <xdr:colOff>0</xdr:colOff>
          <xdr:row>0</xdr:row>
          <xdr:rowOff>333375</xdr:rowOff>
        </xdr:to>
        <xdr:sp macro="" textlink="">
          <xdr:nvSpPr>
            <xdr:cNvPr id="2052" name="Button 4" hidden="1">
              <a:extLst>
                <a:ext uri="{63B3BB69-23CF-44E3-9099-C40C66FF867C}">
                  <a14:compatExt spid="_x0000_s20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nl-NL" sz="1100" b="0" i="0" u="none" strike="noStrike" baseline="0">
                  <a:solidFill>
                    <a:srgbClr val="000000"/>
                  </a:solidFill>
                  <a:latin typeface="Calibri"/>
                </a:rPr>
                <a:t>Publiceren</a:t>
              </a:r>
            </a:p>
            <a:p>
              <a:pPr algn="ctr" rtl="0">
                <a:defRPr sz="1000"/>
              </a:pPr>
              <a:endParaRPr lang="nl-NL" sz="1100" b="0" i="0" u="none" strike="noStrike" baseline="0">
                <a:solidFill>
                  <a:srgbClr val="000000"/>
                </a:solidFill>
                <a:latin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209550</xdr:rowOff>
        </xdr:to>
        <xdr:sp macro="" textlink="">
          <xdr:nvSpPr>
            <xdr:cNvPr id="53250" name="Check Box 2" hidden="1">
              <a:extLst>
                <a:ext uri="{63B3BB69-23CF-44E3-9099-C40C66FF867C}">
                  <a14:compatExt spid="_x0000_s532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209550</xdr:rowOff>
        </xdr:to>
        <xdr:sp macro="" textlink="">
          <xdr:nvSpPr>
            <xdr:cNvPr id="53251" name="Check Box 3" hidden="1">
              <a:extLst>
                <a:ext uri="{63B3BB69-23CF-44E3-9099-C40C66FF867C}">
                  <a14:compatExt spid="_x0000_s532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209550</xdr:rowOff>
        </xdr:to>
        <xdr:sp macro="" textlink="">
          <xdr:nvSpPr>
            <xdr:cNvPr id="53252" name="Check Box 4" hidden="1">
              <a:extLst>
                <a:ext uri="{63B3BB69-23CF-44E3-9099-C40C66FF867C}">
                  <a14:compatExt spid="_x0000_s532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209550</xdr:rowOff>
        </xdr:to>
        <xdr:sp macro="" textlink="">
          <xdr:nvSpPr>
            <xdr:cNvPr id="53253" name="Check Box 5" hidden="1">
              <a:extLst>
                <a:ext uri="{63B3BB69-23CF-44E3-9099-C40C66FF867C}">
                  <a14:compatExt spid="_x0000_s532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209550</xdr:rowOff>
        </xdr:to>
        <xdr:sp macro="" textlink="">
          <xdr:nvSpPr>
            <xdr:cNvPr id="53254" name="Check Box 6" hidden="1">
              <a:extLst>
                <a:ext uri="{63B3BB69-23CF-44E3-9099-C40C66FF867C}">
                  <a14:compatExt spid="_x0000_s532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209550</xdr:rowOff>
        </xdr:to>
        <xdr:sp macro="" textlink="">
          <xdr:nvSpPr>
            <xdr:cNvPr id="53255" name="Check Box 7" hidden="1">
              <a:extLst>
                <a:ext uri="{63B3BB69-23CF-44E3-9099-C40C66FF867C}">
                  <a14:compatExt spid="_x0000_s532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209550</xdr:rowOff>
        </xdr:to>
        <xdr:sp macro="" textlink="">
          <xdr:nvSpPr>
            <xdr:cNvPr id="53256" name="Check Box 8" hidden="1">
              <a:extLst>
                <a:ext uri="{63B3BB69-23CF-44E3-9099-C40C66FF867C}">
                  <a14:compatExt spid="_x0000_s532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209550</xdr:rowOff>
        </xdr:to>
        <xdr:sp macro="" textlink="">
          <xdr:nvSpPr>
            <xdr:cNvPr id="53257" name="Check Box 9" hidden="1">
              <a:extLst>
                <a:ext uri="{63B3BB69-23CF-44E3-9099-C40C66FF867C}">
                  <a14:compatExt spid="_x0000_s532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209550</xdr:rowOff>
        </xdr:to>
        <xdr:sp macro="" textlink="">
          <xdr:nvSpPr>
            <xdr:cNvPr id="53258" name="Check Box 10" hidden="1">
              <a:extLst>
                <a:ext uri="{63B3BB69-23CF-44E3-9099-C40C66FF867C}">
                  <a14:compatExt spid="_x0000_s532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209550</xdr:rowOff>
        </xdr:to>
        <xdr:sp macro="" textlink="">
          <xdr:nvSpPr>
            <xdr:cNvPr id="53259" name="Check Box 11" hidden="1">
              <a:extLst>
                <a:ext uri="{63B3BB69-23CF-44E3-9099-C40C66FF867C}">
                  <a14:compatExt spid="_x0000_s532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209550</xdr:rowOff>
        </xdr:to>
        <xdr:sp macro="" textlink="">
          <xdr:nvSpPr>
            <xdr:cNvPr id="53260" name="Check Box 12" hidden="1">
              <a:extLst>
                <a:ext uri="{63B3BB69-23CF-44E3-9099-C40C66FF867C}">
                  <a14:compatExt spid="_x0000_s532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209550</xdr:rowOff>
        </xdr:to>
        <xdr:sp macro="" textlink="">
          <xdr:nvSpPr>
            <xdr:cNvPr id="53261" name="Check Box 13" hidden="1">
              <a:extLst>
                <a:ext uri="{63B3BB69-23CF-44E3-9099-C40C66FF867C}">
                  <a14:compatExt spid="_x0000_s532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30</xdr:row>
          <xdr:rowOff>0</xdr:rowOff>
        </xdr:from>
        <xdr:to>
          <xdr:col>4</xdr:col>
          <xdr:colOff>0</xdr:colOff>
          <xdr:row>30</xdr:row>
          <xdr:rowOff>209550</xdr:rowOff>
        </xdr:to>
        <xdr:sp macro="" textlink="">
          <xdr:nvSpPr>
            <xdr:cNvPr id="53262" name="Check Box 14" hidden="1">
              <a:extLst>
                <a:ext uri="{63B3BB69-23CF-44E3-9099-C40C66FF867C}">
                  <a14:compatExt spid="_x0000_s532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30</xdr:row>
          <xdr:rowOff>0</xdr:rowOff>
        </xdr:from>
        <xdr:to>
          <xdr:col>5</xdr:col>
          <xdr:colOff>0</xdr:colOff>
          <xdr:row>30</xdr:row>
          <xdr:rowOff>209550</xdr:rowOff>
        </xdr:to>
        <xdr:sp macro="" textlink="">
          <xdr:nvSpPr>
            <xdr:cNvPr id="53263" name="Check Box 15" hidden="1">
              <a:extLst>
                <a:ext uri="{63B3BB69-23CF-44E3-9099-C40C66FF867C}">
                  <a14:compatExt spid="_x0000_s532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30</xdr:row>
          <xdr:rowOff>0</xdr:rowOff>
        </xdr:from>
        <xdr:to>
          <xdr:col>6</xdr:col>
          <xdr:colOff>0</xdr:colOff>
          <xdr:row>30</xdr:row>
          <xdr:rowOff>209550</xdr:rowOff>
        </xdr:to>
        <xdr:sp macro="" textlink="">
          <xdr:nvSpPr>
            <xdr:cNvPr id="53264" name="Check Box 16" hidden="1">
              <a:extLst>
                <a:ext uri="{63B3BB69-23CF-44E3-9099-C40C66FF867C}">
                  <a14:compatExt spid="_x0000_s532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30</xdr:row>
          <xdr:rowOff>0</xdr:rowOff>
        </xdr:from>
        <xdr:to>
          <xdr:col>7</xdr:col>
          <xdr:colOff>0</xdr:colOff>
          <xdr:row>30</xdr:row>
          <xdr:rowOff>209550</xdr:rowOff>
        </xdr:to>
        <xdr:sp macro="" textlink="">
          <xdr:nvSpPr>
            <xdr:cNvPr id="53265" name="Check Box 17" hidden="1">
              <a:extLst>
                <a:ext uri="{63B3BB69-23CF-44E3-9099-C40C66FF867C}">
                  <a14:compatExt spid="_x0000_s532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31</xdr:row>
          <xdr:rowOff>0</xdr:rowOff>
        </xdr:from>
        <xdr:to>
          <xdr:col>4</xdr:col>
          <xdr:colOff>0</xdr:colOff>
          <xdr:row>31</xdr:row>
          <xdr:rowOff>209550</xdr:rowOff>
        </xdr:to>
        <xdr:sp macro="" textlink="">
          <xdr:nvSpPr>
            <xdr:cNvPr id="53266" name="Check Box 18" hidden="1">
              <a:extLst>
                <a:ext uri="{63B3BB69-23CF-44E3-9099-C40C66FF867C}">
                  <a14:compatExt spid="_x0000_s532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0</xdr:rowOff>
        </xdr:from>
        <xdr:to>
          <xdr:col>5</xdr:col>
          <xdr:colOff>0</xdr:colOff>
          <xdr:row>31</xdr:row>
          <xdr:rowOff>209550</xdr:rowOff>
        </xdr:to>
        <xdr:sp macro="" textlink="">
          <xdr:nvSpPr>
            <xdr:cNvPr id="53267" name="Check Box 19" hidden="1">
              <a:extLst>
                <a:ext uri="{63B3BB69-23CF-44E3-9099-C40C66FF867C}">
                  <a14:compatExt spid="_x0000_s532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31</xdr:row>
          <xdr:rowOff>0</xdr:rowOff>
        </xdr:from>
        <xdr:to>
          <xdr:col>6</xdr:col>
          <xdr:colOff>0</xdr:colOff>
          <xdr:row>31</xdr:row>
          <xdr:rowOff>209550</xdr:rowOff>
        </xdr:to>
        <xdr:sp macro="" textlink="">
          <xdr:nvSpPr>
            <xdr:cNvPr id="53268" name="Check Box 20" hidden="1">
              <a:extLst>
                <a:ext uri="{63B3BB69-23CF-44E3-9099-C40C66FF867C}">
                  <a14:compatExt spid="_x0000_s532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31</xdr:row>
          <xdr:rowOff>0</xdr:rowOff>
        </xdr:from>
        <xdr:to>
          <xdr:col>7</xdr:col>
          <xdr:colOff>0</xdr:colOff>
          <xdr:row>31</xdr:row>
          <xdr:rowOff>209550</xdr:rowOff>
        </xdr:to>
        <xdr:sp macro="" textlink="">
          <xdr:nvSpPr>
            <xdr:cNvPr id="53269" name="Check Box 21" hidden="1">
              <a:extLst>
                <a:ext uri="{63B3BB69-23CF-44E3-9099-C40C66FF867C}">
                  <a14:compatExt spid="_x0000_s532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32</xdr:row>
          <xdr:rowOff>0</xdr:rowOff>
        </xdr:from>
        <xdr:to>
          <xdr:col>4</xdr:col>
          <xdr:colOff>0</xdr:colOff>
          <xdr:row>32</xdr:row>
          <xdr:rowOff>209550</xdr:rowOff>
        </xdr:to>
        <xdr:sp macro="" textlink="">
          <xdr:nvSpPr>
            <xdr:cNvPr id="53270" name="Check Box 22" hidden="1">
              <a:extLst>
                <a:ext uri="{63B3BB69-23CF-44E3-9099-C40C66FF867C}">
                  <a14:compatExt spid="_x0000_s532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0</xdr:rowOff>
        </xdr:from>
        <xdr:to>
          <xdr:col>5</xdr:col>
          <xdr:colOff>0</xdr:colOff>
          <xdr:row>32</xdr:row>
          <xdr:rowOff>209550</xdr:rowOff>
        </xdr:to>
        <xdr:sp macro="" textlink="">
          <xdr:nvSpPr>
            <xdr:cNvPr id="53271" name="Check Box 23" hidden="1">
              <a:extLst>
                <a:ext uri="{63B3BB69-23CF-44E3-9099-C40C66FF867C}">
                  <a14:compatExt spid="_x0000_s532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32</xdr:row>
          <xdr:rowOff>0</xdr:rowOff>
        </xdr:from>
        <xdr:to>
          <xdr:col>6</xdr:col>
          <xdr:colOff>0</xdr:colOff>
          <xdr:row>32</xdr:row>
          <xdr:rowOff>209550</xdr:rowOff>
        </xdr:to>
        <xdr:sp macro="" textlink="">
          <xdr:nvSpPr>
            <xdr:cNvPr id="53272" name="Check Box 24" hidden="1">
              <a:extLst>
                <a:ext uri="{63B3BB69-23CF-44E3-9099-C40C66FF867C}">
                  <a14:compatExt spid="_x0000_s532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32</xdr:row>
          <xdr:rowOff>0</xdr:rowOff>
        </xdr:from>
        <xdr:to>
          <xdr:col>7</xdr:col>
          <xdr:colOff>0</xdr:colOff>
          <xdr:row>32</xdr:row>
          <xdr:rowOff>209550</xdr:rowOff>
        </xdr:to>
        <xdr:sp macro="" textlink="">
          <xdr:nvSpPr>
            <xdr:cNvPr id="53273" name="Check Box 25" hidden="1">
              <a:extLst>
                <a:ext uri="{63B3BB69-23CF-44E3-9099-C40C66FF867C}">
                  <a14:compatExt spid="_x0000_s532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33</xdr:row>
          <xdr:rowOff>0</xdr:rowOff>
        </xdr:from>
        <xdr:to>
          <xdr:col>4</xdr:col>
          <xdr:colOff>0</xdr:colOff>
          <xdr:row>33</xdr:row>
          <xdr:rowOff>209550</xdr:rowOff>
        </xdr:to>
        <xdr:sp macro="" textlink="">
          <xdr:nvSpPr>
            <xdr:cNvPr id="53274" name="Check Box 26" hidden="1">
              <a:extLst>
                <a:ext uri="{63B3BB69-23CF-44E3-9099-C40C66FF867C}">
                  <a14:compatExt spid="_x0000_s532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5</xdr:col>
          <xdr:colOff>0</xdr:colOff>
          <xdr:row>33</xdr:row>
          <xdr:rowOff>209550</xdr:rowOff>
        </xdr:to>
        <xdr:sp macro="" textlink="">
          <xdr:nvSpPr>
            <xdr:cNvPr id="53275" name="Check Box 27" hidden="1">
              <a:extLst>
                <a:ext uri="{63B3BB69-23CF-44E3-9099-C40C66FF867C}">
                  <a14:compatExt spid="_x0000_s532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33</xdr:row>
          <xdr:rowOff>0</xdr:rowOff>
        </xdr:from>
        <xdr:to>
          <xdr:col>6</xdr:col>
          <xdr:colOff>0</xdr:colOff>
          <xdr:row>33</xdr:row>
          <xdr:rowOff>209550</xdr:rowOff>
        </xdr:to>
        <xdr:sp macro="" textlink="">
          <xdr:nvSpPr>
            <xdr:cNvPr id="53276" name="Check Box 28" hidden="1">
              <a:extLst>
                <a:ext uri="{63B3BB69-23CF-44E3-9099-C40C66FF867C}">
                  <a14:compatExt spid="_x0000_s532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33</xdr:row>
          <xdr:rowOff>0</xdr:rowOff>
        </xdr:from>
        <xdr:to>
          <xdr:col>7</xdr:col>
          <xdr:colOff>0</xdr:colOff>
          <xdr:row>33</xdr:row>
          <xdr:rowOff>209550</xdr:rowOff>
        </xdr:to>
        <xdr:sp macro="" textlink="">
          <xdr:nvSpPr>
            <xdr:cNvPr id="53277" name="Check Box 29" hidden="1">
              <a:extLst>
                <a:ext uri="{63B3BB69-23CF-44E3-9099-C40C66FF867C}">
                  <a14:compatExt spid="_x0000_s532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34</xdr:row>
          <xdr:rowOff>0</xdr:rowOff>
        </xdr:from>
        <xdr:to>
          <xdr:col>4</xdr:col>
          <xdr:colOff>0</xdr:colOff>
          <xdr:row>34</xdr:row>
          <xdr:rowOff>209550</xdr:rowOff>
        </xdr:to>
        <xdr:sp macro="" textlink="">
          <xdr:nvSpPr>
            <xdr:cNvPr id="53278" name="Check Box 30" hidden="1">
              <a:extLst>
                <a:ext uri="{63B3BB69-23CF-44E3-9099-C40C66FF867C}">
                  <a14:compatExt spid="_x0000_s532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5</xdr:col>
          <xdr:colOff>0</xdr:colOff>
          <xdr:row>34</xdr:row>
          <xdr:rowOff>209550</xdr:rowOff>
        </xdr:to>
        <xdr:sp macro="" textlink="">
          <xdr:nvSpPr>
            <xdr:cNvPr id="53279" name="Check Box 31" hidden="1">
              <a:extLst>
                <a:ext uri="{63B3BB69-23CF-44E3-9099-C40C66FF867C}">
                  <a14:compatExt spid="_x0000_s532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34</xdr:row>
          <xdr:rowOff>0</xdr:rowOff>
        </xdr:from>
        <xdr:to>
          <xdr:col>6</xdr:col>
          <xdr:colOff>0</xdr:colOff>
          <xdr:row>34</xdr:row>
          <xdr:rowOff>209550</xdr:rowOff>
        </xdr:to>
        <xdr:sp macro="" textlink="">
          <xdr:nvSpPr>
            <xdr:cNvPr id="53280" name="Check Box 32" hidden="1">
              <a:extLst>
                <a:ext uri="{63B3BB69-23CF-44E3-9099-C40C66FF867C}">
                  <a14:compatExt spid="_x0000_s532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34</xdr:row>
          <xdr:rowOff>0</xdr:rowOff>
        </xdr:from>
        <xdr:to>
          <xdr:col>7</xdr:col>
          <xdr:colOff>0</xdr:colOff>
          <xdr:row>34</xdr:row>
          <xdr:rowOff>209550</xdr:rowOff>
        </xdr:to>
        <xdr:sp macro="" textlink="">
          <xdr:nvSpPr>
            <xdr:cNvPr id="53281" name="Check Box 33" hidden="1">
              <a:extLst>
                <a:ext uri="{63B3BB69-23CF-44E3-9099-C40C66FF867C}">
                  <a14:compatExt spid="_x0000_s532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xdr:row>
          <xdr:rowOff>0</xdr:rowOff>
        </xdr:from>
        <xdr:to>
          <xdr:col>4</xdr:col>
          <xdr:colOff>0</xdr:colOff>
          <xdr:row>35</xdr:row>
          <xdr:rowOff>209550</xdr:rowOff>
        </xdr:to>
        <xdr:sp macro="" textlink="">
          <xdr:nvSpPr>
            <xdr:cNvPr id="53282" name="Check Box 34" hidden="1">
              <a:extLst>
                <a:ext uri="{63B3BB69-23CF-44E3-9099-C40C66FF867C}">
                  <a14:compatExt spid="_x0000_s532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5</xdr:col>
          <xdr:colOff>0</xdr:colOff>
          <xdr:row>35</xdr:row>
          <xdr:rowOff>209550</xdr:rowOff>
        </xdr:to>
        <xdr:sp macro="" textlink="">
          <xdr:nvSpPr>
            <xdr:cNvPr id="53283" name="Check Box 35" hidden="1">
              <a:extLst>
                <a:ext uri="{63B3BB69-23CF-44E3-9099-C40C66FF867C}">
                  <a14:compatExt spid="_x0000_s532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41</xdr:row>
          <xdr:rowOff>0</xdr:rowOff>
        </xdr:from>
        <xdr:to>
          <xdr:col>4</xdr:col>
          <xdr:colOff>0</xdr:colOff>
          <xdr:row>42</xdr:row>
          <xdr:rowOff>19050</xdr:rowOff>
        </xdr:to>
        <xdr:sp macro="" textlink="">
          <xdr:nvSpPr>
            <xdr:cNvPr id="53284" name="Check Box 36" hidden="1">
              <a:extLst>
                <a:ext uri="{63B3BB69-23CF-44E3-9099-C40C66FF867C}">
                  <a14:compatExt spid="_x0000_s532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41</xdr:row>
          <xdr:rowOff>0</xdr:rowOff>
        </xdr:from>
        <xdr:to>
          <xdr:col>5</xdr:col>
          <xdr:colOff>0</xdr:colOff>
          <xdr:row>42</xdr:row>
          <xdr:rowOff>19050</xdr:rowOff>
        </xdr:to>
        <xdr:sp macro="" textlink="">
          <xdr:nvSpPr>
            <xdr:cNvPr id="53285" name="Check Box 37" hidden="1">
              <a:extLst>
                <a:ext uri="{63B3BB69-23CF-44E3-9099-C40C66FF867C}">
                  <a14:compatExt spid="_x0000_s532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42</xdr:row>
          <xdr:rowOff>0</xdr:rowOff>
        </xdr:from>
        <xdr:to>
          <xdr:col>4</xdr:col>
          <xdr:colOff>0</xdr:colOff>
          <xdr:row>43</xdr:row>
          <xdr:rowOff>19050</xdr:rowOff>
        </xdr:to>
        <xdr:sp macro="" textlink="">
          <xdr:nvSpPr>
            <xdr:cNvPr id="53286" name="Check Box 38" hidden="1">
              <a:extLst>
                <a:ext uri="{63B3BB69-23CF-44E3-9099-C40C66FF867C}">
                  <a14:compatExt spid="_x0000_s532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42</xdr:row>
          <xdr:rowOff>0</xdr:rowOff>
        </xdr:from>
        <xdr:to>
          <xdr:col>5</xdr:col>
          <xdr:colOff>0</xdr:colOff>
          <xdr:row>43</xdr:row>
          <xdr:rowOff>19050</xdr:rowOff>
        </xdr:to>
        <xdr:sp macro="" textlink="">
          <xdr:nvSpPr>
            <xdr:cNvPr id="53287" name="Check Box 39" hidden="1">
              <a:extLst>
                <a:ext uri="{63B3BB69-23CF-44E3-9099-C40C66FF867C}">
                  <a14:compatExt spid="_x0000_s532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43</xdr:row>
          <xdr:rowOff>0</xdr:rowOff>
        </xdr:from>
        <xdr:to>
          <xdr:col>4</xdr:col>
          <xdr:colOff>0</xdr:colOff>
          <xdr:row>44</xdr:row>
          <xdr:rowOff>19050</xdr:rowOff>
        </xdr:to>
        <xdr:sp macro="" textlink="">
          <xdr:nvSpPr>
            <xdr:cNvPr id="53288" name="Check Box 40" hidden="1">
              <a:extLst>
                <a:ext uri="{63B3BB69-23CF-44E3-9099-C40C66FF867C}">
                  <a14:compatExt spid="_x0000_s532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43</xdr:row>
          <xdr:rowOff>0</xdr:rowOff>
        </xdr:from>
        <xdr:to>
          <xdr:col>5</xdr:col>
          <xdr:colOff>0</xdr:colOff>
          <xdr:row>44</xdr:row>
          <xdr:rowOff>19050</xdr:rowOff>
        </xdr:to>
        <xdr:sp macro="" textlink="">
          <xdr:nvSpPr>
            <xdr:cNvPr id="53289" name="Check Box 41" hidden="1">
              <a:extLst>
                <a:ext uri="{63B3BB69-23CF-44E3-9099-C40C66FF867C}">
                  <a14:compatExt spid="_x0000_s532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2</xdr:col>
          <xdr:colOff>0</xdr:colOff>
          <xdr:row>48</xdr:row>
          <xdr:rowOff>19050</xdr:rowOff>
        </xdr:to>
        <xdr:sp macro="" textlink="">
          <xdr:nvSpPr>
            <xdr:cNvPr id="53290" name="Check Box 42" hidden="1">
              <a:extLst>
                <a:ext uri="{63B3BB69-23CF-44E3-9099-C40C66FF867C}">
                  <a14:compatExt spid="_x0000_s532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2</xdr:col>
          <xdr:colOff>0</xdr:colOff>
          <xdr:row>49</xdr:row>
          <xdr:rowOff>19050</xdr:rowOff>
        </xdr:to>
        <xdr:sp macro="" textlink="">
          <xdr:nvSpPr>
            <xdr:cNvPr id="53291" name="Check Box 43" hidden="1">
              <a:extLst>
                <a:ext uri="{63B3BB69-23CF-44E3-9099-C40C66FF867C}">
                  <a14:compatExt spid="_x0000_s53291"/>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209550</xdr:rowOff>
        </xdr:to>
        <xdr:sp macro="" textlink="">
          <xdr:nvSpPr>
            <xdr:cNvPr id="54274" name="Check Box 2" hidden="1">
              <a:extLst>
                <a:ext uri="{63B3BB69-23CF-44E3-9099-C40C66FF867C}">
                  <a14:compatExt spid="_x0000_s542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209550</xdr:rowOff>
        </xdr:to>
        <xdr:sp macro="" textlink="">
          <xdr:nvSpPr>
            <xdr:cNvPr id="54275" name="Check Box 3" hidden="1">
              <a:extLst>
                <a:ext uri="{63B3BB69-23CF-44E3-9099-C40C66FF867C}">
                  <a14:compatExt spid="_x0000_s542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209550</xdr:rowOff>
        </xdr:to>
        <xdr:sp macro="" textlink="">
          <xdr:nvSpPr>
            <xdr:cNvPr id="54276" name="Check Box 4" hidden="1">
              <a:extLst>
                <a:ext uri="{63B3BB69-23CF-44E3-9099-C40C66FF867C}">
                  <a14:compatExt spid="_x0000_s542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209550</xdr:rowOff>
        </xdr:to>
        <xdr:sp macro="" textlink="">
          <xdr:nvSpPr>
            <xdr:cNvPr id="54277" name="Check Box 5" hidden="1">
              <a:extLst>
                <a:ext uri="{63B3BB69-23CF-44E3-9099-C40C66FF867C}">
                  <a14:compatExt spid="_x0000_s542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209550</xdr:rowOff>
        </xdr:to>
        <xdr:sp macro="" textlink="">
          <xdr:nvSpPr>
            <xdr:cNvPr id="54278" name="Check Box 6" hidden="1">
              <a:extLst>
                <a:ext uri="{63B3BB69-23CF-44E3-9099-C40C66FF867C}">
                  <a14:compatExt spid="_x0000_s542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209550</xdr:rowOff>
        </xdr:to>
        <xdr:sp macro="" textlink="">
          <xdr:nvSpPr>
            <xdr:cNvPr id="54279" name="Check Box 7" hidden="1">
              <a:extLst>
                <a:ext uri="{63B3BB69-23CF-44E3-9099-C40C66FF867C}">
                  <a14:compatExt spid="_x0000_s542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209550</xdr:rowOff>
        </xdr:to>
        <xdr:sp macro="" textlink="">
          <xdr:nvSpPr>
            <xdr:cNvPr id="54280" name="Check Box 8" hidden="1">
              <a:extLst>
                <a:ext uri="{63B3BB69-23CF-44E3-9099-C40C66FF867C}">
                  <a14:compatExt spid="_x0000_s542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209550</xdr:rowOff>
        </xdr:to>
        <xdr:sp macro="" textlink="">
          <xdr:nvSpPr>
            <xdr:cNvPr id="54281" name="Check Box 9" hidden="1">
              <a:extLst>
                <a:ext uri="{63B3BB69-23CF-44E3-9099-C40C66FF867C}">
                  <a14:compatExt spid="_x0000_s542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209550</xdr:rowOff>
        </xdr:to>
        <xdr:sp macro="" textlink="">
          <xdr:nvSpPr>
            <xdr:cNvPr id="54282" name="Check Box 10" hidden="1">
              <a:extLst>
                <a:ext uri="{63B3BB69-23CF-44E3-9099-C40C66FF867C}">
                  <a14:compatExt spid="_x0000_s542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209550</xdr:rowOff>
        </xdr:to>
        <xdr:sp macro="" textlink="">
          <xdr:nvSpPr>
            <xdr:cNvPr id="54283" name="Check Box 11" hidden="1">
              <a:extLst>
                <a:ext uri="{63B3BB69-23CF-44E3-9099-C40C66FF867C}">
                  <a14:compatExt spid="_x0000_s542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209550</xdr:rowOff>
        </xdr:to>
        <xdr:sp macro="" textlink="">
          <xdr:nvSpPr>
            <xdr:cNvPr id="54284" name="Check Box 12" hidden="1">
              <a:extLst>
                <a:ext uri="{63B3BB69-23CF-44E3-9099-C40C66FF867C}">
                  <a14:compatExt spid="_x0000_s542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209550</xdr:rowOff>
        </xdr:to>
        <xdr:sp macro="" textlink="">
          <xdr:nvSpPr>
            <xdr:cNvPr id="54285" name="Check Box 13" hidden="1">
              <a:extLst>
                <a:ext uri="{63B3BB69-23CF-44E3-9099-C40C66FF867C}">
                  <a14:compatExt spid="_x0000_s54285"/>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209550</xdr:rowOff>
        </xdr:to>
        <xdr:sp macro="" textlink="">
          <xdr:nvSpPr>
            <xdr:cNvPr id="55298" name="Check Box 2" hidden="1">
              <a:extLst>
                <a:ext uri="{63B3BB69-23CF-44E3-9099-C40C66FF867C}">
                  <a14:compatExt spid="_x0000_s552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209550</xdr:rowOff>
        </xdr:to>
        <xdr:sp macro="" textlink="">
          <xdr:nvSpPr>
            <xdr:cNvPr id="55299" name="Check Box 3" hidden="1">
              <a:extLst>
                <a:ext uri="{63B3BB69-23CF-44E3-9099-C40C66FF867C}">
                  <a14:compatExt spid="_x0000_s552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209550</xdr:rowOff>
        </xdr:to>
        <xdr:sp macro="" textlink="">
          <xdr:nvSpPr>
            <xdr:cNvPr id="55300" name="Check Box 4" hidden="1">
              <a:extLst>
                <a:ext uri="{63B3BB69-23CF-44E3-9099-C40C66FF867C}">
                  <a14:compatExt spid="_x0000_s553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209550</xdr:rowOff>
        </xdr:to>
        <xdr:sp macro="" textlink="">
          <xdr:nvSpPr>
            <xdr:cNvPr id="55301" name="Check Box 5" hidden="1">
              <a:extLst>
                <a:ext uri="{63B3BB69-23CF-44E3-9099-C40C66FF867C}">
                  <a14:compatExt spid="_x0000_s553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209550</xdr:rowOff>
        </xdr:to>
        <xdr:sp macro="" textlink="">
          <xdr:nvSpPr>
            <xdr:cNvPr id="55302" name="Check Box 6" hidden="1">
              <a:extLst>
                <a:ext uri="{63B3BB69-23CF-44E3-9099-C40C66FF867C}">
                  <a14:compatExt spid="_x0000_s553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209550</xdr:rowOff>
        </xdr:to>
        <xdr:sp macro="" textlink="">
          <xdr:nvSpPr>
            <xdr:cNvPr id="55303" name="Check Box 7" hidden="1">
              <a:extLst>
                <a:ext uri="{63B3BB69-23CF-44E3-9099-C40C66FF867C}">
                  <a14:compatExt spid="_x0000_s553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209550</xdr:rowOff>
        </xdr:to>
        <xdr:sp macro="" textlink="">
          <xdr:nvSpPr>
            <xdr:cNvPr id="55304" name="Check Box 8" hidden="1">
              <a:extLst>
                <a:ext uri="{63B3BB69-23CF-44E3-9099-C40C66FF867C}">
                  <a14:compatExt spid="_x0000_s553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209550</xdr:rowOff>
        </xdr:to>
        <xdr:sp macro="" textlink="">
          <xdr:nvSpPr>
            <xdr:cNvPr id="55305" name="Check Box 9" hidden="1">
              <a:extLst>
                <a:ext uri="{63B3BB69-23CF-44E3-9099-C40C66FF867C}">
                  <a14:compatExt spid="_x0000_s553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209550</xdr:rowOff>
        </xdr:to>
        <xdr:sp macro="" textlink="">
          <xdr:nvSpPr>
            <xdr:cNvPr id="55306" name="Check Box 10" hidden="1">
              <a:extLst>
                <a:ext uri="{63B3BB69-23CF-44E3-9099-C40C66FF867C}">
                  <a14:compatExt spid="_x0000_s553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209550</xdr:rowOff>
        </xdr:to>
        <xdr:sp macro="" textlink="">
          <xdr:nvSpPr>
            <xdr:cNvPr id="55307" name="Check Box 11" hidden="1">
              <a:extLst>
                <a:ext uri="{63B3BB69-23CF-44E3-9099-C40C66FF867C}">
                  <a14:compatExt spid="_x0000_s553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209550</xdr:rowOff>
        </xdr:to>
        <xdr:sp macro="" textlink="">
          <xdr:nvSpPr>
            <xdr:cNvPr id="55308" name="Check Box 12" hidden="1">
              <a:extLst>
                <a:ext uri="{63B3BB69-23CF-44E3-9099-C40C66FF867C}">
                  <a14:compatExt spid="_x0000_s553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209550</xdr:rowOff>
        </xdr:to>
        <xdr:sp macro="" textlink="">
          <xdr:nvSpPr>
            <xdr:cNvPr id="55309" name="Check Box 13" hidden="1">
              <a:extLst>
                <a:ext uri="{63B3BB69-23CF-44E3-9099-C40C66FF867C}">
                  <a14:compatExt spid="_x0000_s553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209550</xdr:rowOff>
        </xdr:to>
        <xdr:sp macro="" textlink="">
          <xdr:nvSpPr>
            <xdr:cNvPr id="55310" name="Check Box 14" hidden="1">
              <a:extLst>
                <a:ext uri="{63B3BB69-23CF-44E3-9099-C40C66FF867C}">
                  <a14:compatExt spid="_x0000_s553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209550</xdr:rowOff>
        </xdr:to>
        <xdr:sp macro="" textlink="">
          <xdr:nvSpPr>
            <xdr:cNvPr id="55311" name="Check Box 15" hidden="1">
              <a:extLst>
                <a:ext uri="{63B3BB69-23CF-44E3-9099-C40C66FF867C}">
                  <a14:compatExt spid="_x0000_s55311"/>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26" Type="http://schemas.openxmlformats.org/officeDocument/2006/relationships/ctrlProp" Target="../ctrlProps/ctrlProp26.xml"/><Relationship Id="rId39" Type="http://schemas.openxmlformats.org/officeDocument/2006/relationships/ctrlProp" Target="../ctrlProps/ctrlProp39.xml"/><Relationship Id="rId3" Type="http://schemas.openxmlformats.org/officeDocument/2006/relationships/vmlDrawing" Target="../drawings/vmlDrawing5.vml"/><Relationship Id="rId21" Type="http://schemas.openxmlformats.org/officeDocument/2006/relationships/ctrlProp" Target="../ctrlProps/ctrlProp21.xml"/><Relationship Id="rId34" Type="http://schemas.openxmlformats.org/officeDocument/2006/relationships/ctrlProp" Target="../ctrlProps/ctrlProp34.xml"/><Relationship Id="rId42" Type="http://schemas.openxmlformats.org/officeDocument/2006/relationships/ctrlProp" Target="../ctrlProps/ctrlProp42.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5" Type="http://schemas.openxmlformats.org/officeDocument/2006/relationships/ctrlProp" Target="../ctrlProps/ctrlProp25.xml"/><Relationship Id="rId33" Type="http://schemas.openxmlformats.org/officeDocument/2006/relationships/ctrlProp" Target="../ctrlProps/ctrlProp33.xml"/><Relationship Id="rId38" Type="http://schemas.openxmlformats.org/officeDocument/2006/relationships/ctrlProp" Target="../ctrlProps/ctrlProp38.xml"/><Relationship Id="rId46" Type="http://schemas.openxmlformats.org/officeDocument/2006/relationships/comments" Target="../comments3.xml"/><Relationship Id="rId2" Type="http://schemas.openxmlformats.org/officeDocument/2006/relationships/drawing" Target="../drawings/drawing3.xml"/><Relationship Id="rId16" Type="http://schemas.openxmlformats.org/officeDocument/2006/relationships/ctrlProp" Target="../ctrlProps/ctrlProp16.xml"/><Relationship Id="rId20" Type="http://schemas.openxmlformats.org/officeDocument/2006/relationships/ctrlProp" Target="../ctrlProps/ctrlProp20.xml"/><Relationship Id="rId29" Type="http://schemas.openxmlformats.org/officeDocument/2006/relationships/ctrlProp" Target="../ctrlProps/ctrlProp29.xml"/><Relationship Id="rId41" Type="http://schemas.openxmlformats.org/officeDocument/2006/relationships/ctrlProp" Target="../ctrlProps/ctrlProp41.xml"/><Relationship Id="rId1" Type="http://schemas.openxmlformats.org/officeDocument/2006/relationships/printerSettings" Target="../printerSettings/printerSettings6.bin"/><Relationship Id="rId6" Type="http://schemas.openxmlformats.org/officeDocument/2006/relationships/ctrlProp" Target="../ctrlProps/ctrlProp6.xml"/><Relationship Id="rId11" Type="http://schemas.openxmlformats.org/officeDocument/2006/relationships/ctrlProp" Target="../ctrlProps/ctrlProp11.xml"/><Relationship Id="rId24" Type="http://schemas.openxmlformats.org/officeDocument/2006/relationships/ctrlProp" Target="../ctrlProps/ctrlProp24.xml"/><Relationship Id="rId32" Type="http://schemas.openxmlformats.org/officeDocument/2006/relationships/ctrlProp" Target="../ctrlProps/ctrlProp32.xml"/><Relationship Id="rId37" Type="http://schemas.openxmlformats.org/officeDocument/2006/relationships/ctrlProp" Target="../ctrlProps/ctrlProp37.xml"/><Relationship Id="rId40" Type="http://schemas.openxmlformats.org/officeDocument/2006/relationships/ctrlProp" Target="../ctrlProps/ctrlProp40.xml"/><Relationship Id="rId45" Type="http://schemas.openxmlformats.org/officeDocument/2006/relationships/ctrlProp" Target="../ctrlProps/ctrlProp45.xml"/><Relationship Id="rId5" Type="http://schemas.openxmlformats.org/officeDocument/2006/relationships/ctrlProp" Target="../ctrlProps/ctrlProp5.xml"/><Relationship Id="rId15" Type="http://schemas.openxmlformats.org/officeDocument/2006/relationships/ctrlProp" Target="../ctrlProps/ctrlProp15.xml"/><Relationship Id="rId23" Type="http://schemas.openxmlformats.org/officeDocument/2006/relationships/ctrlProp" Target="../ctrlProps/ctrlProp23.xml"/><Relationship Id="rId28" Type="http://schemas.openxmlformats.org/officeDocument/2006/relationships/ctrlProp" Target="../ctrlProps/ctrlProp28.xml"/><Relationship Id="rId36" Type="http://schemas.openxmlformats.org/officeDocument/2006/relationships/ctrlProp" Target="../ctrlProps/ctrlProp36.xml"/><Relationship Id="rId10" Type="http://schemas.openxmlformats.org/officeDocument/2006/relationships/ctrlProp" Target="../ctrlProps/ctrlProp10.xml"/><Relationship Id="rId19" Type="http://schemas.openxmlformats.org/officeDocument/2006/relationships/ctrlProp" Target="../ctrlProps/ctrlProp19.xml"/><Relationship Id="rId31" Type="http://schemas.openxmlformats.org/officeDocument/2006/relationships/ctrlProp" Target="../ctrlProps/ctrlProp31.xml"/><Relationship Id="rId44" Type="http://schemas.openxmlformats.org/officeDocument/2006/relationships/ctrlProp" Target="../ctrlProps/ctrlProp44.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trlProp" Target="../ctrlProps/ctrlProp22.xml"/><Relationship Id="rId27" Type="http://schemas.openxmlformats.org/officeDocument/2006/relationships/ctrlProp" Target="../ctrlProps/ctrlProp27.xml"/><Relationship Id="rId30" Type="http://schemas.openxmlformats.org/officeDocument/2006/relationships/ctrlProp" Target="../ctrlProps/ctrlProp30.xml"/><Relationship Id="rId35" Type="http://schemas.openxmlformats.org/officeDocument/2006/relationships/ctrlProp" Target="../ctrlProps/ctrlProp35.xml"/><Relationship Id="rId43" Type="http://schemas.openxmlformats.org/officeDocument/2006/relationships/ctrlProp" Target="../ctrlProps/ctrlProp43.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0.xml"/><Relationship Id="rId13" Type="http://schemas.openxmlformats.org/officeDocument/2006/relationships/ctrlProp" Target="../ctrlProps/ctrlProp55.xml"/><Relationship Id="rId3" Type="http://schemas.openxmlformats.org/officeDocument/2006/relationships/vmlDrawing" Target="../drawings/vmlDrawing6.vml"/><Relationship Id="rId7" Type="http://schemas.openxmlformats.org/officeDocument/2006/relationships/ctrlProp" Target="../ctrlProps/ctrlProp49.xml"/><Relationship Id="rId12" Type="http://schemas.openxmlformats.org/officeDocument/2006/relationships/ctrlProp" Target="../ctrlProps/ctrlProp54.xml"/><Relationship Id="rId2" Type="http://schemas.openxmlformats.org/officeDocument/2006/relationships/drawing" Target="../drawings/drawing4.xml"/><Relationship Id="rId16" Type="http://schemas.openxmlformats.org/officeDocument/2006/relationships/comments" Target="../comments4.xml"/><Relationship Id="rId1" Type="http://schemas.openxmlformats.org/officeDocument/2006/relationships/printerSettings" Target="../printerSettings/printerSettings7.bin"/><Relationship Id="rId6" Type="http://schemas.openxmlformats.org/officeDocument/2006/relationships/ctrlProp" Target="../ctrlProps/ctrlProp48.xml"/><Relationship Id="rId11" Type="http://schemas.openxmlformats.org/officeDocument/2006/relationships/ctrlProp" Target="../ctrlProps/ctrlProp53.xml"/><Relationship Id="rId5" Type="http://schemas.openxmlformats.org/officeDocument/2006/relationships/ctrlProp" Target="../ctrlProps/ctrlProp47.xml"/><Relationship Id="rId15" Type="http://schemas.openxmlformats.org/officeDocument/2006/relationships/ctrlProp" Target="../ctrlProps/ctrlProp57.xml"/><Relationship Id="rId10" Type="http://schemas.openxmlformats.org/officeDocument/2006/relationships/ctrlProp" Target="../ctrlProps/ctrlProp52.xml"/><Relationship Id="rId4" Type="http://schemas.openxmlformats.org/officeDocument/2006/relationships/ctrlProp" Target="../ctrlProps/ctrlProp46.xml"/><Relationship Id="rId9" Type="http://schemas.openxmlformats.org/officeDocument/2006/relationships/ctrlProp" Target="../ctrlProps/ctrlProp51.xml"/><Relationship Id="rId14" Type="http://schemas.openxmlformats.org/officeDocument/2006/relationships/ctrlProp" Target="../ctrlProps/ctrlProp56.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62.xml"/><Relationship Id="rId13" Type="http://schemas.openxmlformats.org/officeDocument/2006/relationships/ctrlProp" Target="../ctrlProps/ctrlProp67.xml"/><Relationship Id="rId18" Type="http://schemas.openxmlformats.org/officeDocument/2006/relationships/comments" Target="../comments5.xml"/><Relationship Id="rId3" Type="http://schemas.openxmlformats.org/officeDocument/2006/relationships/vmlDrawing" Target="../drawings/vmlDrawing7.vml"/><Relationship Id="rId7" Type="http://schemas.openxmlformats.org/officeDocument/2006/relationships/ctrlProp" Target="../ctrlProps/ctrlProp61.xml"/><Relationship Id="rId12" Type="http://schemas.openxmlformats.org/officeDocument/2006/relationships/ctrlProp" Target="../ctrlProps/ctrlProp66.xml"/><Relationship Id="rId17" Type="http://schemas.openxmlformats.org/officeDocument/2006/relationships/ctrlProp" Target="../ctrlProps/ctrlProp71.xml"/><Relationship Id="rId2" Type="http://schemas.openxmlformats.org/officeDocument/2006/relationships/drawing" Target="../drawings/drawing5.xml"/><Relationship Id="rId16" Type="http://schemas.openxmlformats.org/officeDocument/2006/relationships/ctrlProp" Target="../ctrlProps/ctrlProp70.xml"/><Relationship Id="rId1" Type="http://schemas.openxmlformats.org/officeDocument/2006/relationships/printerSettings" Target="../printerSettings/printerSettings8.bin"/><Relationship Id="rId6" Type="http://schemas.openxmlformats.org/officeDocument/2006/relationships/ctrlProp" Target="../ctrlProps/ctrlProp60.xml"/><Relationship Id="rId11" Type="http://schemas.openxmlformats.org/officeDocument/2006/relationships/ctrlProp" Target="../ctrlProps/ctrlProp65.xml"/><Relationship Id="rId5" Type="http://schemas.openxmlformats.org/officeDocument/2006/relationships/ctrlProp" Target="../ctrlProps/ctrlProp59.xml"/><Relationship Id="rId15" Type="http://schemas.openxmlformats.org/officeDocument/2006/relationships/ctrlProp" Target="../ctrlProps/ctrlProp69.xml"/><Relationship Id="rId10" Type="http://schemas.openxmlformats.org/officeDocument/2006/relationships/ctrlProp" Target="../ctrlProps/ctrlProp64.xml"/><Relationship Id="rId4" Type="http://schemas.openxmlformats.org/officeDocument/2006/relationships/ctrlProp" Target="../ctrlProps/ctrlProp58.xml"/><Relationship Id="rId9" Type="http://schemas.openxmlformats.org/officeDocument/2006/relationships/ctrlProp" Target="../ctrlProps/ctrlProp63.xml"/><Relationship Id="rId14" Type="http://schemas.openxmlformats.org/officeDocument/2006/relationships/ctrlProp" Target="../ctrlProps/ctrlProp6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1">
    <tabColor theme="9" tint="0.39997558519241921"/>
  </sheetPr>
  <dimension ref="B2:C19"/>
  <sheetViews>
    <sheetView workbookViewId="0">
      <selection activeCell="B7" sqref="B7"/>
    </sheetView>
  </sheetViews>
  <sheetFormatPr defaultRowHeight="15" x14ac:dyDescent="0.25"/>
  <cols>
    <col min="2" max="2" width="33.140625" customWidth="1"/>
    <col min="3" max="3" width="65.42578125" customWidth="1"/>
  </cols>
  <sheetData>
    <row r="2" spans="2:3" x14ac:dyDescent="0.25">
      <c r="B2" t="s">
        <v>13</v>
      </c>
    </row>
    <row r="3" spans="2:3" x14ac:dyDescent="0.25">
      <c r="B3" s="2" t="s">
        <v>14</v>
      </c>
    </row>
    <row r="4" spans="2:3" x14ac:dyDescent="0.25">
      <c r="B4" s="2" t="s">
        <v>15</v>
      </c>
    </row>
    <row r="6" spans="2:3" x14ac:dyDescent="0.25">
      <c r="B6" t="s">
        <v>30</v>
      </c>
    </row>
    <row r="7" spans="2:3" x14ac:dyDescent="0.25">
      <c r="B7" s="2">
        <v>0</v>
      </c>
      <c r="C7" s="15" t="s">
        <v>33</v>
      </c>
    </row>
    <row r="9" spans="2:3" x14ac:dyDescent="0.25">
      <c r="B9" t="s">
        <v>44</v>
      </c>
    </row>
    <row r="10" spans="2:3" ht="45" customHeight="1" x14ac:dyDescent="0.25">
      <c r="B10" s="19" t="s">
        <v>45</v>
      </c>
      <c r="C10" s="23" t="s">
        <v>65</v>
      </c>
    </row>
    <row r="12" spans="2:3" x14ac:dyDescent="0.25">
      <c r="B12" t="s">
        <v>48</v>
      </c>
      <c r="C12" s="39"/>
    </row>
    <row r="15" spans="2:3" x14ac:dyDescent="0.25">
      <c r="B15" t="s">
        <v>58</v>
      </c>
      <c r="C15" s="46" t="s">
        <v>57</v>
      </c>
    </row>
    <row r="17" spans="2:3" x14ac:dyDescent="0.25">
      <c r="B17" t="s">
        <v>60</v>
      </c>
      <c r="C17" t="s">
        <v>61</v>
      </c>
    </row>
    <row r="19" spans="2:3" x14ac:dyDescent="0.25">
      <c r="B19" t="s">
        <v>66</v>
      </c>
      <c r="C19" s="58">
        <v>45</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4">
    <tabColor theme="9" tint="0.39997558519241921"/>
    <pageSetUpPr fitToPage="1"/>
  </sheetPr>
  <dimension ref="A1:F14"/>
  <sheetViews>
    <sheetView workbookViewId="0">
      <selection activeCell="A5" sqref="A5"/>
    </sheetView>
  </sheetViews>
  <sheetFormatPr defaultRowHeight="15" x14ac:dyDescent="0.25"/>
  <cols>
    <col min="1" max="1" width="33.140625" customWidth="1"/>
    <col min="2" max="3" width="33.5703125" customWidth="1"/>
  </cols>
  <sheetData>
    <row r="1" spans="1:6" ht="31.5" x14ac:dyDescent="0.5">
      <c r="A1" s="84" t="s">
        <v>62</v>
      </c>
      <c r="B1" s="84"/>
      <c r="C1" s="84"/>
    </row>
    <row r="3" spans="1:6" ht="24" customHeight="1" x14ac:dyDescent="0.25">
      <c r="A3" s="79" t="s">
        <v>35</v>
      </c>
      <c r="B3" s="80"/>
      <c r="C3" s="81"/>
    </row>
    <row r="4" spans="1:6" ht="2.25" customHeight="1" x14ac:dyDescent="0.25">
      <c r="A4" s="30"/>
      <c r="B4" s="41"/>
      <c r="C4" s="41"/>
    </row>
    <row r="5" spans="1:6" s="16" customFormat="1" ht="34.5" customHeight="1" x14ac:dyDescent="0.25">
      <c r="A5" s="42" t="s">
        <v>52</v>
      </c>
      <c r="B5" s="40" t="str">
        <f>KerntakenEnWerkprocessen!B4</f>
        <v>BF_AMO_AO16-B1-K3_1</v>
      </c>
      <c r="C5" s="44">
        <f>KerntakenEnWerkprocessen!B3</f>
        <v>42528</v>
      </c>
    </row>
    <row r="6" spans="1:6" s="16" customFormat="1" ht="23.25" customHeight="1" x14ac:dyDescent="0.25">
      <c r="A6" s="18" t="s">
        <v>36</v>
      </c>
      <c r="B6" s="85" t="str">
        <f>KerntakenEnWerkprocessen!C6</f>
        <v>Proeve van Bekwaamheid (praktijkexamen in de beroepspraktijk)</v>
      </c>
      <c r="C6" s="86"/>
    </row>
    <row r="7" spans="1:6" s="16" customFormat="1" ht="23.25" customHeight="1" x14ac:dyDescent="0.25">
      <c r="A7" s="18" t="s">
        <v>49</v>
      </c>
      <c r="B7" s="85" t="str">
        <f>KerntakenEnWerkprocessen!B7</f>
        <v>[Examennaam]</v>
      </c>
      <c r="C7" s="86"/>
    </row>
    <row r="8" spans="1:6" s="16" customFormat="1" ht="23.25" customHeight="1" x14ac:dyDescent="0.25">
      <c r="A8" s="18" t="s">
        <v>50</v>
      </c>
      <c r="B8" s="85" t="str">
        <f>KerntakenEnWerkprocessen!C7</f>
        <v>[Examencode]</v>
      </c>
      <c r="C8" s="86"/>
    </row>
    <row r="9" spans="1:6" s="16" customFormat="1" ht="23.25" customHeight="1" x14ac:dyDescent="0.25">
      <c r="A9" s="18" t="s">
        <v>56</v>
      </c>
      <c r="B9" s="85" t="str">
        <f>KerntakenEnWerkprocessen!B9</f>
        <v>P1: Applicatie- en mediaontwikkelaar, 4</v>
      </c>
      <c r="C9" s="86"/>
    </row>
    <row r="10" spans="1:6" s="16" customFormat="1" ht="23.25" customHeight="1" x14ac:dyDescent="0.25">
      <c r="A10" s="18" t="s">
        <v>55</v>
      </c>
      <c r="B10" s="85" t="str">
        <f>KerntakenEnWerkprocessen!B8</f>
        <v>Applicatieontwikkeling</v>
      </c>
      <c r="C10" s="86"/>
    </row>
    <row r="11" spans="1:6" s="16" customFormat="1" ht="23.25" customHeight="1" x14ac:dyDescent="0.25">
      <c r="A11" s="18" t="s">
        <v>51</v>
      </c>
      <c r="B11" s="22" t="str">
        <f>KerntakenEnWerkprocessen!C8</f>
        <v>2016 en verder</v>
      </c>
      <c r="C11" s="22">
        <f>KerntakenEnWerkprocessen!C9</f>
        <v>25187</v>
      </c>
    </row>
    <row r="12" spans="1:6" s="37" customFormat="1" ht="23.25" customHeight="1" x14ac:dyDescent="0.25">
      <c r="A12" s="38" t="s">
        <v>9</v>
      </c>
      <c r="B12" s="83" t="str">
        <f>KerntakenEnWerkprocessen!C5</f>
        <v>Levert een product op</v>
      </c>
      <c r="C12" s="83"/>
    </row>
    <row r="13" spans="1:6" s="16" customFormat="1" ht="2.1" customHeight="1" x14ac:dyDescent="0.25">
      <c r="A13" s="30"/>
      <c r="B13" s="32"/>
      <c r="C13" s="33"/>
    </row>
    <row r="14" spans="1:6" ht="222.75" customHeight="1" x14ac:dyDescent="0.25">
      <c r="A14" s="31" t="s">
        <v>10</v>
      </c>
      <c r="B14" s="82" t="str">
        <f>KerntakenEnWerkprocessen!F2</f>
        <v xml:space="preserve">B1-K3-W1 Optimaliseert het product
B1-K3-W2 Levert het product op
B1-K3-W3 Evalueert het opgeleverde product
</v>
      </c>
      <c r="C14" s="82"/>
      <c r="F14" s="29"/>
    </row>
  </sheetData>
  <mergeCells count="9">
    <mergeCell ref="A3:C3"/>
    <mergeCell ref="B14:C14"/>
    <mergeCell ref="B12:C12"/>
    <mergeCell ref="A1:C1"/>
    <mergeCell ref="B7:C7"/>
    <mergeCell ref="B8:C8"/>
    <mergeCell ref="B6:C6"/>
    <mergeCell ref="B10:C10"/>
    <mergeCell ref="B9:C9"/>
  </mergeCells>
  <pageMargins left="0.70866141732283472" right="0.70866141732283472" top="0.74803149606299213" bottom="0.74803149606299213" header="0.31496062992125984" footer="0.31496062992125984"/>
  <pageSetup paperSize="9" scale="86" orientation="portrait" r:id="rId1"/>
  <headerFooter>
    <oddFooter>Pagina &amp;P van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27">
    <tabColor theme="9" tint="0.39997558519241921"/>
    <pageSetUpPr fitToPage="1"/>
  </sheetPr>
  <dimension ref="A1:G20"/>
  <sheetViews>
    <sheetView showGridLines="0" workbookViewId="0">
      <selection activeCell="C1" sqref="C1"/>
    </sheetView>
  </sheetViews>
  <sheetFormatPr defaultRowHeight="15" x14ac:dyDescent="0.25"/>
  <cols>
    <col min="1" max="1" width="18.140625" customWidth="1"/>
    <col min="2" max="2" width="20.140625" customWidth="1"/>
    <col min="3" max="3" width="17.28515625" customWidth="1"/>
    <col min="4" max="7" width="23.7109375" style="8" customWidth="1"/>
  </cols>
  <sheetData>
    <row r="1" spans="1:7" x14ac:dyDescent="0.25">
      <c r="A1" t="s">
        <v>25</v>
      </c>
      <c r="B1" s="6"/>
      <c r="C1" s="57" t="e">
        <f>VLOOKUP(B1,werkprocessen,2,FALSE)</f>
        <v>#N/A</v>
      </c>
    </row>
    <row r="2" spans="1:7" x14ac:dyDescent="0.25">
      <c r="A2" t="s">
        <v>26</v>
      </c>
      <c r="B2" s="6" t="e">
        <f>VLOOKUP(B1,KerntakenEnWerkprocessen!B13:E27,3,FALSE)</f>
        <v>#N/A</v>
      </c>
    </row>
    <row r="3" spans="1:7" x14ac:dyDescent="0.25">
      <c r="A3" t="s">
        <v>27</v>
      </c>
      <c r="B3" s="6" t="e">
        <f>VLOOKUP(B1,KerntakenEnWerkprocessen!B13:E27,4,FALSE)</f>
        <v>#N/A</v>
      </c>
    </row>
    <row r="4" spans="1:7" x14ac:dyDescent="0.25">
      <c r="A4" t="s">
        <v>32</v>
      </c>
      <c r="B4" s="6">
        <f>SUM(N:N)</f>
        <v>0</v>
      </c>
      <c r="C4" s="56" t="s">
        <v>64</v>
      </c>
      <c r="D4" s="55" t="b">
        <f>IF(SUM(O:O)&gt;0,TRUE,FALSE)</f>
        <v>0</v>
      </c>
    </row>
    <row r="5" spans="1:7" x14ac:dyDescent="0.25">
      <c r="A5" t="s">
        <v>31</v>
      </c>
      <c r="B5" s="6">
        <f>SUM(M:M)</f>
        <v>0</v>
      </c>
    </row>
    <row r="6" spans="1:7" x14ac:dyDescent="0.25">
      <c r="A6" t="s">
        <v>42</v>
      </c>
      <c r="B6" s="6">
        <f>COUNTIF(N:N,1)</f>
        <v>0</v>
      </c>
    </row>
    <row r="7" spans="1:7" x14ac:dyDescent="0.25">
      <c r="A7" t="s">
        <v>43</v>
      </c>
      <c r="B7" s="6">
        <f>COUNTIF(N:N,2)+COUNTIF(N:N,3)</f>
        <v>0</v>
      </c>
    </row>
    <row r="8" spans="1:7" x14ac:dyDescent="0.25">
      <c r="A8" t="s">
        <v>34</v>
      </c>
      <c r="B8" s="6">
        <f>0.5*B4</f>
        <v>0</v>
      </c>
    </row>
    <row r="10" spans="1:7" ht="36.75" customHeight="1" x14ac:dyDescent="0.5">
      <c r="B10" s="87" t="str">
        <f>CONCATENATE(kerntaakCode,": ",kerntaakNaam)</f>
        <v>B1-K3: Levert een product op</v>
      </c>
      <c r="C10" s="87"/>
      <c r="D10" s="87"/>
      <c r="E10" s="87"/>
      <c r="F10" s="87"/>
      <c r="G10" s="87"/>
    </row>
    <row r="11" spans="1:7" ht="28.5" customHeight="1" x14ac:dyDescent="0.4">
      <c r="B11" s="88" t="e">
        <f>CONCATENATE(VLOOKUP(B1,werkprocessen,1,FALSE),": ",C1)</f>
        <v>#N/A</v>
      </c>
      <c r="C11" s="88"/>
      <c r="D11" s="88"/>
      <c r="E11" s="88"/>
      <c r="F11" s="88"/>
      <c r="G11" s="88"/>
    </row>
    <row r="13" spans="1:7" ht="24" customHeight="1" x14ac:dyDescent="0.25">
      <c r="B13" s="89" t="s">
        <v>21</v>
      </c>
      <c r="C13" s="90"/>
      <c r="D13" s="90"/>
      <c r="E13" s="90"/>
      <c r="F13" s="90"/>
      <c r="G13" s="91"/>
    </row>
    <row r="14" spans="1:7" ht="22.5" customHeight="1" x14ac:dyDescent="0.25">
      <c r="B14" s="17" t="s">
        <v>16</v>
      </c>
      <c r="C14" s="11"/>
      <c r="D14" s="9"/>
      <c r="E14" s="9"/>
      <c r="F14" s="9"/>
      <c r="G14" s="13"/>
    </row>
    <row r="15" spans="1:7" ht="22.5" customHeight="1" x14ac:dyDescent="0.25">
      <c r="B15" s="17" t="s">
        <v>47</v>
      </c>
      <c r="C15" s="12"/>
      <c r="D15" s="10"/>
      <c r="E15" s="10"/>
      <c r="F15" s="10"/>
      <c r="G15" s="14"/>
    </row>
    <row r="16" spans="1:7" ht="22.5" customHeight="1" x14ac:dyDescent="0.25">
      <c r="B16" s="17" t="s">
        <v>17</v>
      </c>
      <c r="C16" s="12"/>
      <c r="D16" s="10"/>
      <c r="E16" s="10"/>
      <c r="F16" s="10"/>
      <c r="G16" s="14"/>
    </row>
    <row r="17" spans="2:7" ht="22.5" customHeight="1" x14ac:dyDescent="0.25">
      <c r="B17" s="17" t="s">
        <v>18</v>
      </c>
      <c r="C17" s="12"/>
      <c r="D17" s="10"/>
      <c r="E17" s="10"/>
      <c r="F17" s="10"/>
      <c r="G17" s="14"/>
    </row>
    <row r="18" spans="2:7" ht="22.5" customHeight="1" x14ac:dyDescent="0.25">
      <c r="B18" s="17" t="s">
        <v>19</v>
      </c>
      <c r="C18" s="12"/>
      <c r="D18" s="10"/>
      <c r="E18" s="10"/>
      <c r="F18" s="10"/>
      <c r="G18" s="14"/>
    </row>
    <row r="19" spans="2:7" ht="22.5" customHeight="1" x14ac:dyDescent="0.25">
      <c r="B19" s="17" t="s">
        <v>20</v>
      </c>
      <c r="C19" s="12"/>
      <c r="D19" s="10"/>
      <c r="E19" s="10"/>
      <c r="F19" s="10"/>
      <c r="G19" s="14"/>
    </row>
    <row r="20" spans="2:7" ht="23.25" customHeight="1" x14ac:dyDescent="0.25"/>
  </sheetData>
  <mergeCells count="3">
    <mergeCell ref="B10:G10"/>
    <mergeCell ref="B11:G11"/>
    <mergeCell ref="B13:G13"/>
  </mergeCells>
  <pageMargins left="0.70866141732283472" right="0.70866141732283472" top="0.74803149606299213" bottom="0.74803149606299213" header="0.31496062992125984" footer="0.31496062992125984"/>
  <pageSetup paperSize="9" scale="66" fitToHeight="0" orientation="portrait" r:id="rId1"/>
  <headerFooter>
    <oddFooter>Pagina &amp;P van &amp;N</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2">
    <tabColor theme="4" tint="0.39997558519241921"/>
  </sheetPr>
  <dimension ref="A1:F29"/>
  <sheetViews>
    <sheetView topLeftCell="B1" workbookViewId="0">
      <selection activeCell="C35" sqref="C35"/>
    </sheetView>
  </sheetViews>
  <sheetFormatPr defaultRowHeight="15" x14ac:dyDescent="0.25"/>
  <cols>
    <col min="1" max="1" width="29.85546875" customWidth="1"/>
    <col min="2" max="2" width="28.28515625" customWidth="1"/>
    <col min="3" max="3" width="55.7109375" customWidth="1"/>
    <col min="4" max="5" width="16.42578125" hidden="1" customWidth="1"/>
    <col min="6" max="6" width="53.5703125" hidden="1" customWidth="1"/>
    <col min="7" max="7" width="13.7109375" customWidth="1"/>
  </cols>
  <sheetData>
    <row r="1" spans="1:6" ht="36.75" customHeight="1" x14ac:dyDescent="0.25">
      <c r="A1" s="1" t="s">
        <v>0</v>
      </c>
    </row>
    <row r="2" spans="1:6" ht="187.5" hidden="1" customHeight="1" x14ac:dyDescent="0.25">
      <c r="A2" s="1"/>
      <c r="F2" s="20" t="str">
        <f>F27</f>
        <v xml:space="preserve">B1-K3-W1 Optimaliseert het product
B1-K3-W2 Levert het product op
B1-K3-W3 Evalueert het opgeleverde product
</v>
      </c>
    </row>
    <row r="3" spans="1:6" x14ac:dyDescent="0.25">
      <c r="A3" s="43" t="s">
        <v>54</v>
      </c>
      <c r="B3" s="53">
        <v>42528</v>
      </c>
    </row>
    <row r="4" spans="1:6" x14ac:dyDescent="0.25">
      <c r="A4" s="43" t="s">
        <v>53</v>
      </c>
      <c r="B4" s="92" t="s">
        <v>67</v>
      </c>
      <c r="C4" s="92"/>
    </row>
    <row r="5" spans="1:6" ht="15" customHeight="1" x14ac:dyDescent="0.25">
      <c r="A5" s="34" t="s">
        <v>9</v>
      </c>
      <c r="B5" s="59" t="s">
        <v>68</v>
      </c>
      <c r="C5" s="59" t="s">
        <v>70</v>
      </c>
    </row>
    <row r="6" spans="1:6" ht="30" x14ac:dyDescent="0.25">
      <c r="A6" t="s">
        <v>36</v>
      </c>
      <c r="B6" s="21"/>
      <c r="C6" s="78" t="s">
        <v>218</v>
      </c>
    </row>
    <row r="7" spans="1:6" x14ac:dyDescent="0.25">
      <c r="A7" t="s">
        <v>37</v>
      </c>
      <c r="B7" s="24" t="s">
        <v>41</v>
      </c>
      <c r="C7" s="78" t="s">
        <v>219</v>
      </c>
    </row>
    <row r="8" spans="1:6" x14ac:dyDescent="0.25">
      <c r="A8" t="s">
        <v>38</v>
      </c>
      <c r="B8" s="59" t="s">
        <v>69</v>
      </c>
      <c r="C8" s="45" t="s">
        <v>63</v>
      </c>
    </row>
    <row r="9" spans="1:6" ht="15" customHeight="1" x14ac:dyDescent="0.25">
      <c r="A9" s="47" t="s">
        <v>39</v>
      </c>
      <c r="B9" s="59" t="s">
        <v>71</v>
      </c>
      <c r="C9" s="59">
        <v>25187</v>
      </c>
    </row>
    <row r="12" spans="1:6" x14ac:dyDescent="0.25">
      <c r="A12" t="s">
        <v>10</v>
      </c>
      <c r="B12" s="3" t="s">
        <v>11</v>
      </c>
      <c r="C12" s="3" t="s">
        <v>12</v>
      </c>
      <c r="D12" s="4" t="s">
        <v>23</v>
      </c>
      <c r="E12" s="4" t="s">
        <v>24</v>
      </c>
      <c r="F12" s="4" t="s">
        <v>40</v>
      </c>
    </row>
    <row r="13" spans="1:6" x14ac:dyDescent="0.25">
      <c r="B13" s="59" t="s">
        <v>72</v>
      </c>
      <c r="C13" s="59" t="s">
        <v>75</v>
      </c>
      <c r="D13" s="5">
        <f t="array" ref="D13">MIN(IF(Beheersingsniveaus!$A$4:$A$154=KerntakenEnWerkprocessen!$B13,Beheersingsniveaus!$B$4:$B$154))</f>
        <v>1</v>
      </c>
      <c r="E13" s="5">
        <f t="array" ref="E13">MAX(IF(Beheersingsniveaus!$A$4:$A$154=KerntakenEnWerkprocessen!$B13,Beheersingsniveaus!$B$4:$B$154))</f>
        <v>2</v>
      </c>
      <c r="F13" s="5" t="str">
        <f>B13&amp;" "&amp;C13&amp;CHAR(10)</f>
        <v xml:space="preserve">B1-K3-W1 Optimaliseert het product
</v>
      </c>
    </row>
    <row r="14" spans="1:6" x14ac:dyDescent="0.25">
      <c r="B14" s="59" t="s">
        <v>73</v>
      </c>
      <c r="C14" s="59" t="s">
        <v>76</v>
      </c>
      <c r="D14" s="5">
        <f t="array" ref="D14">MIN(IF(Beheersingsniveaus!$A$4:$A$154=KerntakenEnWerkprocessen!$B14,Beheersingsniveaus!$B$4:$B$154))</f>
        <v>3</v>
      </c>
      <c r="E14" s="5">
        <f t="array" ref="E14">MAX(IF(Beheersingsniveaus!$A$4:$A$154=KerntakenEnWerkprocessen!$B14,Beheersingsniveaus!$B$4:$B$154))</f>
        <v>3</v>
      </c>
      <c r="F14" s="5" t="str">
        <f>F13&amp;B14&amp;" "&amp;C14&amp;CHAR(10)</f>
        <v xml:space="preserve">B1-K3-W1 Optimaliseert het product
B1-K3-W2 Levert het product op
</v>
      </c>
    </row>
    <row r="15" spans="1:6" x14ac:dyDescent="0.25">
      <c r="B15" s="59" t="s">
        <v>74</v>
      </c>
      <c r="C15" s="59" t="s">
        <v>77</v>
      </c>
      <c r="D15" s="5">
        <f t="array" ref="D15">MIN(IF(Beheersingsniveaus!$A$4:$A$154=KerntakenEnWerkprocessen!$B15,Beheersingsniveaus!$B$4:$B$154))</f>
        <v>4</v>
      </c>
      <c r="E15" s="5">
        <f t="array" ref="E15">MAX(IF(Beheersingsniveaus!$A$4:$A$154=KerntakenEnWerkprocessen!$B15,Beheersingsniveaus!$B$4:$B$154))</f>
        <v>4</v>
      </c>
      <c r="F15" s="5" t="str">
        <f t="shared" ref="F15:F22" si="0">F14&amp;B15&amp;" "&amp;C15&amp;CHAR(10)</f>
        <v xml:space="preserve">B1-K3-W1 Optimaliseert het product
B1-K3-W2 Levert het product op
B1-K3-W3 Evalueert het opgeleverde product
</v>
      </c>
    </row>
    <row r="16" spans="1:6" x14ac:dyDescent="0.25">
      <c r="B16" s="54"/>
      <c r="C16" s="54"/>
      <c r="D16" s="5">
        <f t="array" ref="D16">MIN(IF(Beheersingsniveaus!$A$4:$A$154=KerntakenEnWerkprocessen!$B16,Beheersingsniveaus!$B$4:$B$154))</f>
        <v>0</v>
      </c>
      <c r="E16" s="5">
        <f t="array" ref="E16">MAX(IF(Beheersingsniveaus!$A$4:$A$154=KerntakenEnWerkprocessen!$B16,Beheersingsniveaus!$B$4:$B$154))</f>
        <v>0</v>
      </c>
      <c r="F16" s="5" t="str">
        <f t="shared" si="0"/>
        <v xml:space="preserve">B1-K3-W1 Optimaliseert het product
B1-K3-W2 Levert het product op
B1-K3-W3 Evalueert het opgeleverde product
</v>
      </c>
    </row>
    <row r="17" spans="1:6" x14ac:dyDescent="0.25">
      <c r="B17" s="2"/>
      <c r="C17" s="2"/>
      <c r="D17" s="5">
        <f t="array" ref="D17">MIN(IF(Beheersingsniveaus!$A$4:$A$154=KerntakenEnWerkprocessen!$B17,Beheersingsniveaus!$B$4:$B$154))</f>
        <v>0</v>
      </c>
      <c r="E17" s="5">
        <f t="array" ref="E17">MAX(IF(Beheersingsniveaus!$A$4:$A$154=KerntakenEnWerkprocessen!$B17,Beheersingsniveaus!$B$4:$B$154))</f>
        <v>0</v>
      </c>
      <c r="F17" s="5" t="str">
        <f t="shared" si="0"/>
        <v xml:space="preserve">B1-K3-W1 Optimaliseert het product
B1-K3-W2 Levert het product op
B1-K3-W3 Evalueert het opgeleverde product
</v>
      </c>
    </row>
    <row r="18" spans="1:6" x14ac:dyDescent="0.25">
      <c r="B18" s="2"/>
      <c r="C18" s="2"/>
      <c r="D18" s="5">
        <f t="array" ref="D18">MIN(IF(Beheersingsniveaus!$A$4:$A$154=KerntakenEnWerkprocessen!$B18,Beheersingsniveaus!$B$4:$B$154))</f>
        <v>0</v>
      </c>
      <c r="E18" s="5">
        <f t="array" ref="E18">MAX(IF(Beheersingsniveaus!$A$4:$A$154=KerntakenEnWerkprocessen!$B18,Beheersingsniveaus!$B$4:$B$154))</f>
        <v>0</v>
      </c>
      <c r="F18" s="5" t="str">
        <f t="shared" si="0"/>
        <v xml:space="preserve">B1-K3-W1 Optimaliseert het product
B1-K3-W2 Levert het product op
B1-K3-W3 Evalueert het opgeleverde product
</v>
      </c>
    </row>
    <row r="19" spans="1:6" x14ac:dyDescent="0.25">
      <c r="B19" s="2"/>
      <c r="C19" s="2"/>
      <c r="D19" s="5">
        <f t="array" ref="D19">MIN(IF(Beheersingsniveaus!$A$4:$A$154=KerntakenEnWerkprocessen!$B19,Beheersingsniveaus!$B$4:$B$154))</f>
        <v>0</v>
      </c>
      <c r="E19" s="5">
        <f t="array" ref="E19">MAX(IF(Beheersingsniveaus!$A$4:$A$154=KerntakenEnWerkprocessen!$B19,Beheersingsniveaus!$B$4:$B$154))</f>
        <v>0</v>
      </c>
      <c r="F19" s="5" t="str">
        <f t="shared" si="0"/>
        <v xml:space="preserve">B1-K3-W1 Optimaliseert het product
B1-K3-W2 Levert het product op
B1-K3-W3 Evalueert het opgeleverde product
</v>
      </c>
    </row>
    <row r="20" spans="1:6" x14ac:dyDescent="0.25">
      <c r="B20" s="2"/>
      <c r="C20" s="2"/>
      <c r="D20" s="5">
        <f t="array" ref="D20">MIN(IF(Beheersingsniveaus!$A$4:$A$154=KerntakenEnWerkprocessen!$B20,Beheersingsniveaus!$B$4:$B$154))</f>
        <v>0</v>
      </c>
      <c r="E20" s="5">
        <f t="array" ref="E20">MAX(IF(Beheersingsniveaus!$A$4:$A$154=KerntakenEnWerkprocessen!$B20,Beheersingsniveaus!$B$4:$B$154))</f>
        <v>0</v>
      </c>
      <c r="F20" s="5" t="str">
        <f t="shared" si="0"/>
        <v xml:space="preserve">B1-K3-W1 Optimaliseert het product
B1-K3-W2 Levert het product op
B1-K3-W3 Evalueert het opgeleverde product
</v>
      </c>
    </row>
    <row r="21" spans="1:6" x14ac:dyDescent="0.25">
      <c r="B21" s="2"/>
      <c r="C21" s="2"/>
      <c r="D21" s="5">
        <f t="array" ref="D21">MIN(IF(Beheersingsniveaus!$A$4:$A$154=KerntakenEnWerkprocessen!$B21,Beheersingsniveaus!$B$4:$B$154))</f>
        <v>0</v>
      </c>
      <c r="E21" s="5">
        <f t="array" ref="E21">MAX(IF(Beheersingsniveaus!$A$4:$A$154=KerntakenEnWerkprocessen!$B21,Beheersingsniveaus!$B$4:$B$154))</f>
        <v>0</v>
      </c>
      <c r="F21" s="5" t="str">
        <f t="shared" si="0"/>
        <v xml:space="preserve">B1-K3-W1 Optimaliseert het product
B1-K3-W2 Levert het product op
B1-K3-W3 Evalueert het opgeleverde product
</v>
      </c>
    </row>
    <row r="22" spans="1:6" x14ac:dyDescent="0.25">
      <c r="B22" s="2"/>
      <c r="C22" s="2"/>
      <c r="D22" s="5">
        <f t="array" ref="D22">MIN(IF(Beheersingsniveaus!$A$4:$A$154=KerntakenEnWerkprocessen!$B22,Beheersingsniveaus!$B$4:$B$154))</f>
        <v>0</v>
      </c>
      <c r="E22" s="5">
        <f t="array" ref="E22">MAX(IF(Beheersingsniveaus!$A$4:$A$154=KerntakenEnWerkprocessen!$B22,Beheersingsniveaus!$B$4:$B$154))</f>
        <v>0</v>
      </c>
      <c r="F22" s="5" t="str">
        <f t="shared" si="0"/>
        <v xml:space="preserve">B1-K3-W1 Optimaliseert het product
B1-K3-W2 Levert het product op
B1-K3-W3 Evalueert het opgeleverde product
</v>
      </c>
    </row>
    <row r="23" spans="1:6" x14ac:dyDescent="0.25">
      <c r="B23" s="2"/>
      <c r="C23" s="2"/>
      <c r="D23" s="5">
        <f t="array" ref="D23">MIN(IF(Beheersingsniveaus!$A$4:$A$154=KerntakenEnWerkprocessen!$B23,Beheersingsniveaus!$B$4:$B$154))</f>
        <v>0</v>
      </c>
      <c r="E23" s="5">
        <f t="array" ref="E23">MAX(IF(Beheersingsniveaus!$A$4:$A$154=KerntakenEnWerkprocessen!$B23,Beheersingsniveaus!$B$4:$B$154))</f>
        <v>0</v>
      </c>
      <c r="F23" s="5" t="str">
        <f t="shared" ref="F23:F27" si="1">F22&amp;B23&amp;" "&amp;C23&amp;CHAR(10)</f>
        <v xml:space="preserve">B1-K3-W1 Optimaliseert het product
B1-K3-W2 Levert het product op
B1-K3-W3 Evalueert het opgeleverde product
</v>
      </c>
    </row>
    <row r="24" spans="1:6" x14ac:dyDescent="0.25">
      <c r="B24" s="2"/>
      <c r="C24" s="2"/>
      <c r="D24" s="5">
        <f t="array" ref="D24">MIN(IF(Beheersingsniveaus!$A$4:$A$154=KerntakenEnWerkprocessen!$B24,Beheersingsniveaus!$B$4:$B$154))</f>
        <v>0</v>
      </c>
      <c r="E24" s="5">
        <f t="array" ref="E24">MAX(IF(Beheersingsniveaus!$A$4:$A$154=KerntakenEnWerkprocessen!$B24,Beheersingsniveaus!$B$4:$B$154))</f>
        <v>0</v>
      </c>
      <c r="F24" s="5" t="str">
        <f t="shared" si="1"/>
        <v xml:space="preserve">B1-K3-W1 Optimaliseert het product
B1-K3-W2 Levert het product op
B1-K3-W3 Evalueert het opgeleverde product
</v>
      </c>
    </row>
    <row r="25" spans="1:6" x14ac:dyDescent="0.25">
      <c r="B25" s="2"/>
      <c r="C25" s="2"/>
      <c r="D25" s="5">
        <f t="array" ref="D25">MIN(IF(Beheersingsniveaus!$A$4:$A$154=KerntakenEnWerkprocessen!$B25,Beheersingsniveaus!$B$4:$B$154))</f>
        <v>0</v>
      </c>
      <c r="E25" s="5">
        <f t="array" ref="E25">MAX(IF(Beheersingsniveaus!$A$4:$A$154=KerntakenEnWerkprocessen!$B25,Beheersingsniveaus!$B$4:$B$154))</f>
        <v>0</v>
      </c>
      <c r="F25" s="5" t="str">
        <f t="shared" si="1"/>
        <v xml:space="preserve">B1-K3-W1 Optimaliseert het product
B1-K3-W2 Levert het product op
B1-K3-W3 Evalueert het opgeleverde product
</v>
      </c>
    </row>
    <row r="26" spans="1:6" x14ac:dyDescent="0.25">
      <c r="B26" s="2"/>
      <c r="C26" s="2"/>
      <c r="D26" s="5">
        <f t="array" ref="D26">MIN(IF(Beheersingsniveaus!$A$4:$A$154=KerntakenEnWerkprocessen!$B26,Beheersingsniveaus!$B$4:$B$154))</f>
        <v>0</v>
      </c>
      <c r="E26" s="5">
        <f t="array" ref="E26">MAX(IF(Beheersingsniveaus!$A$4:$A$154=KerntakenEnWerkprocessen!$B26,Beheersingsniveaus!$B$4:$B$154))</f>
        <v>0</v>
      </c>
      <c r="F26" s="5" t="str">
        <f t="shared" si="1"/>
        <v xml:space="preserve">B1-K3-W1 Optimaliseert het product
B1-K3-W2 Levert het product op
B1-K3-W3 Evalueert het opgeleverde product
</v>
      </c>
    </row>
    <row r="27" spans="1:6" x14ac:dyDescent="0.25">
      <c r="B27" s="2"/>
      <c r="C27" s="2"/>
      <c r="D27" s="5">
        <f t="array" ref="D27">MIN(IF(Beheersingsniveaus!$A$4:$A$154=KerntakenEnWerkprocessen!$B27,Beheersingsniveaus!$B$4:$B$154))</f>
        <v>0</v>
      </c>
      <c r="E27" s="5">
        <f t="array" ref="E27">MAX(IF(Beheersingsniveaus!$A$4:$A$154=KerntakenEnWerkprocessen!$B27,Beheersingsniveaus!$B$4:$B$154))</f>
        <v>0</v>
      </c>
      <c r="F27" s="5" t="str">
        <f t="shared" si="1"/>
        <v xml:space="preserve">B1-K3-W1 Optimaliseert het product
B1-K3-W2 Levert het product op
B1-K3-W3 Evalueert het opgeleverde product
</v>
      </c>
    </row>
    <row r="29" spans="1:6" x14ac:dyDescent="0.25">
      <c r="A29" s="47" t="s">
        <v>59</v>
      </c>
      <c r="D29" t="b">
        <v>0</v>
      </c>
    </row>
  </sheetData>
  <mergeCells count="1">
    <mergeCell ref="B4:C4"/>
  </mergeCells>
  <conditionalFormatting sqref="B13:B27">
    <cfRule type="duplicateValues" dxfId="23" priority="2"/>
  </conditionalFormatting>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1</xdr:col>
                    <xdr:colOff>152400</xdr:colOff>
                    <xdr:row>28</xdr:row>
                    <xdr:rowOff>0</xdr:rowOff>
                  </from>
                  <to>
                    <xdr:col>1</xdr:col>
                    <xdr:colOff>1076325</xdr:colOff>
                    <xdr:row>29</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3">
    <tabColor theme="4" tint="0.39997558519241921"/>
  </sheetPr>
  <dimension ref="A1:K154"/>
  <sheetViews>
    <sheetView zoomScale="85" zoomScaleNormal="85" workbookViewId="0">
      <pane ySplit="3" topLeftCell="A12" activePane="bottomLeft" state="frozen"/>
      <selection activeCell="B35" sqref="B35"/>
      <selection pane="bottomLeft" activeCell="H13" sqref="H13"/>
    </sheetView>
  </sheetViews>
  <sheetFormatPr defaultRowHeight="15" x14ac:dyDescent="0.25"/>
  <cols>
    <col min="1" max="1" width="26.5703125" customWidth="1"/>
    <col min="2" max="2" width="18.5703125" customWidth="1"/>
    <col min="3" max="3" width="18.5703125" hidden="1" customWidth="1"/>
    <col min="4" max="4" width="19.5703125" hidden="1" customWidth="1"/>
    <col min="5" max="5" width="8.28515625" customWidth="1"/>
    <col min="6" max="6" width="17.28515625" customWidth="1"/>
    <col min="7" max="7" width="19.7109375" customWidth="1"/>
    <col min="8" max="10" width="21.7109375" customWidth="1"/>
    <col min="11" max="11" width="8.28515625" bestFit="1" customWidth="1"/>
  </cols>
  <sheetData>
    <row r="1" spans="1:11" ht="30" customHeight="1" x14ac:dyDescent="0.25">
      <c r="A1" s="1" t="s">
        <v>46</v>
      </c>
    </row>
    <row r="2" spans="1:11" ht="15" customHeight="1" x14ac:dyDescent="0.25">
      <c r="A2" s="1"/>
    </row>
    <row r="3" spans="1:11" x14ac:dyDescent="0.25">
      <c r="A3" s="3" t="s">
        <v>1</v>
      </c>
      <c r="B3" s="3" t="s">
        <v>2</v>
      </c>
      <c r="C3" s="7" t="s">
        <v>28</v>
      </c>
      <c r="D3" s="7" t="s">
        <v>29</v>
      </c>
      <c r="E3" s="3" t="s">
        <v>22</v>
      </c>
      <c r="F3" s="3" t="s">
        <v>3</v>
      </c>
      <c r="G3" s="3" t="s">
        <v>4</v>
      </c>
      <c r="H3" s="3" t="s">
        <v>5</v>
      </c>
      <c r="I3" s="3" t="s">
        <v>6</v>
      </c>
      <c r="J3" s="3" t="s">
        <v>7</v>
      </c>
      <c r="K3" s="3" t="s">
        <v>8</v>
      </c>
    </row>
    <row r="4" spans="1:11" ht="180" x14ac:dyDescent="0.25">
      <c r="A4" s="48" t="s">
        <v>72</v>
      </c>
      <c r="B4" s="49">
        <v>1</v>
      </c>
      <c r="C4" s="51" t="str">
        <f>IF(A4&lt;&gt;"",CONCATENATE(A4,"-",B4),"")</f>
        <v>B1-K3-W1-1</v>
      </c>
      <c r="D4" s="52" t="str">
        <f>IF(C4&lt;&gt;"",CONCATENATE(C4,"-","1"),"")</f>
        <v>B1-K3-W1-1-1</v>
      </c>
      <c r="E4" s="35" t="s">
        <v>78</v>
      </c>
      <c r="F4" s="35" t="s">
        <v>82</v>
      </c>
      <c r="G4" s="59" t="s">
        <v>83</v>
      </c>
      <c r="H4" s="59" t="s">
        <v>86</v>
      </c>
      <c r="I4" s="35" t="s">
        <v>84</v>
      </c>
      <c r="J4" s="35" t="s">
        <v>85</v>
      </c>
      <c r="K4" s="50" t="s">
        <v>14</v>
      </c>
    </row>
    <row r="5" spans="1:11" ht="105" x14ac:dyDescent="0.25">
      <c r="A5" s="48" t="s">
        <v>72</v>
      </c>
      <c r="B5" s="49">
        <v>1</v>
      </c>
      <c r="C5" s="51" t="str">
        <f t="shared" ref="C5:C68" si="0">IF(A5&lt;&gt;"",CONCATENATE(A5,"-",B5),"")</f>
        <v>B1-K3-W1-1</v>
      </c>
      <c r="D5" s="52" t="str">
        <f>IF(C5&lt;&gt;"",CONCATENATE(C5,"-",COUNTIF($C$4:C5,C5),""),"")</f>
        <v>B1-K3-W1-1-2</v>
      </c>
      <c r="E5" s="35" t="s">
        <v>78</v>
      </c>
      <c r="F5" s="35" t="s">
        <v>87</v>
      </c>
      <c r="G5" s="35" t="s">
        <v>88</v>
      </c>
      <c r="H5" s="35" t="s">
        <v>89</v>
      </c>
      <c r="I5" s="35" t="s">
        <v>91</v>
      </c>
      <c r="J5" s="59" t="s">
        <v>90</v>
      </c>
      <c r="K5" s="50"/>
    </row>
    <row r="6" spans="1:11" ht="300" x14ac:dyDescent="0.25">
      <c r="A6" s="48" t="s">
        <v>72</v>
      </c>
      <c r="B6" s="49">
        <v>1</v>
      </c>
      <c r="C6" s="51" t="str">
        <f t="shared" si="0"/>
        <v>B1-K3-W1-1</v>
      </c>
      <c r="D6" s="52" t="str">
        <f>IF(C6&lt;&gt;"",CONCATENATE(C6,"-",COUNTIF($C$4:C6,C6),""),"")</f>
        <v>B1-K3-W1-1-3</v>
      </c>
      <c r="E6" s="35" t="s">
        <v>78</v>
      </c>
      <c r="F6" s="35" t="s">
        <v>92</v>
      </c>
      <c r="G6" s="35" t="s">
        <v>96</v>
      </c>
      <c r="H6" s="35" t="s">
        <v>93</v>
      </c>
      <c r="I6" s="35" t="s">
        <v>94</v>
      </c>
      <c r="J6" s="35" t="s">
        <v>95</v>
      </c>
      <c r="K6" s="50"/>
    </row>
    <row r="7" spans="1:11" ht="150" x14ac:dyDescent="0.25">
      <c r="A7" s="48" t="s">
        <v>72</v>
      </c>
      <c r="B7" s="49">
        <v>2</v>
      </c>
      <c r="C7" s="51" t="str">
        <f t="shared" si="0"/>
        <v>B1-K3-W1-2</v>
      </c>
      <c r="D7" s="52" t="str">
        <f>IF(C7&lt;&gt;"",CONCATENATE(C7,"-",COUNTIF($C$4:C7,C7),""),"")</f>
        <v>B1-K3-W1-2-1</v>
      </c>
      <c r="E7" s="35" t="s">
        <v>79</v>
      </c>
      <c r="F7" s="35" t="s">
        <v>97</v>
      </c>
      <c r="G7" s="35" t="s">
        <v>212</v>
      </c>
      <c r="H7" s="35" t="s">
        <v>98</v>
      </c>
      <c r="I7" s="35" t="s">
        <v>216</v>
      </c>
      <c r="J7" s="35" t="s">
        <v>99</v>
      </c>
      <c r="K7" s="50" t="s">
        <v>14</v>
      </c>
    </row>
    <row r="8" spans="1:11" ht="165" x14ac:dyDescent="0.25">
      <c r="A8" s="48" t="s">
        <v>72</v>
      </c>
      <c r="B8" s="49">
        <v>2</v>
      </c>
      <c r="C8" s="51" t="str">
        <f t="shared" si="0"/>
        <v>B1-K3-W1-2</v>
      </c>
      <c r="D8" s="52" t="str">
        <f>IF(C8&lt;&gt;"",CONCATENATE(C8,"-",COUNTIF($C$4:C8,C8),""),"")</f>
        <v>B1-K3-W1-2-2</v>
      </c>
      <c r="E8" s="35" t="s">
        <v>79</v>
      </c>
      <c r="F8" s="35" t="s">
        <v>100</v>
      </c>
      <c r="G8" s="35" t="s">
        <v>101</v>
      </c>
      <c r="H8" s="35" t="s">
        <v>102</v>
      </c>
      <c r="I8" s="35" t="s">
        <v>213</v>
      </c>
      <c r="J8" s="35" t="s">
        <v>103</v>
      </c>
      <c r="K8" s="50" t="s">
        <v>14</v>
      </c>
    </row>
    <row r="9" spans="1:11" ht="90" x14ac:dyDescent="0.25">
      <c r="A9" s="48" t="s">
        <v>72</v>
      </c>
      <c r="B9" s="49">
        <v>2</v>
      </c>
      <c r="C9" s="51" t="str">
        <f t="shared" si="0"/>
        <v>B1-K3-W1-2</v>
      </c>
      <c r="D9" s="52" t="str">
        <f>IF(C9&lt;&gt;"",CONCATENATE(C9,"-",COUNTIF($C$4:C9,C9),""),"")</f>
        <v>B1-K3-W1-2-3</v>
      </c>
      <c r="E9" s="35" t="s">
        <v>79</v>
      </c>
      <c r="F9" s="35" t="s">
        <v>104</v>
      </c>
      <c r="G9" s="35" t="s">
        <v>108</v>
      </c>
      <c r="H9" s="35" t="s">
        <v>105</v>
      </c>
      <c r="I9" s="35" t="s">
        <v>106</v>
      </c>
      <c r="J9" s="35" t="s">
        <v>107</v>
      </c>
      <c r="K9" s="50"/>
    </row>
    <row r="10" spans="1:11" ht="345" x14ac:dyDescent="0.25">
      <c r="A10" s="48" t="s">
        <v>72</v>
      </c>
      <c r="B10" s="49">
        <v>2</v>
      </c>
      <c r="C10" s="51" t="str">
        <f t="shared" si="0"/>
        <v>B1-K3-W1-2</v>
      </c>
      <c r="D10" s="52" t="str">
        <f>IF(C10&lt;&gt;"",CONCATENATE(C10,"-",COUNTIF($C$4:C10,C10),""),"")</f>
        <v>B1-K3-W1-2-4</v>
      </c>
      <c r="E10" s="35" t="s">
        <v>80</v>
      </c>
      <c r="F10" s="35" t="s">
        <v>109</v>
      </c>
      <c r="G10" s="35" t="s">
        <v>214</v>
      </c>
      <c r="H10" s="35" t="s">
        <v>110</v>
      </c>
      <c r="I10" s="35" t="s">
        <v>111</v>
      </c>
      <c r="J10" s="35" t="s">
        <v>112</v>
      </c>
      <c r="K10" s="50"/>
    </row>
    <row r="11" spans="1:11" ht="240" x14ac:dyDescent="0.25">
      <c r="A11" s="48" t="s">
        <v>72</v>
      </c>
      <c r="B11" s="49">
        <v>2</v>
      </c>
      <c r="C11" s="51" t="str">
        <f t="shared" si="0"/>
        <v>B1-K3-W1-2</v>
      </c>
      <c r="D11" s="52" t="str">
        <f>IF(C11&lt;&gt;"",CONCATENATE(C11,"-",COUNTIF($C$4:C11,C11),""),"")</f>
        <v>B1-K3-W1-2-5</v>
      </c>
      <c r="E11" s="35" t="s">
        <v>80</v>
      </c>
      <c r="F11" s="35" t="s">
        <v>113</v>
      </c>
      <c r="G11" s="35" t="s">
        <v>215</v>
      </c>
      <c r="H11" s="35" t="s">
        <v>114</v>
      </c>
      <c r="I11" s="35" t="s">
        <v>115</v>
      </c>
      <c r="J11" s="35" t="s">
        <v>116</v>
      </c>
      <c r="K11" s="50"/>
    </row>
    <row r="12" spans="1:11" ht="75" x14ac:dyDescent="0.25">
      <c r="A12" s="48" t="s">
        <v>72</v>
      </c>
      <c r="B12" s="49">
        <v>2</v>
      </c>
      <c r="C12" s="51" t="str">
        <f t="shared" si="0"/>
        <v>B1-K3-W1-2</v>
      </c>
      <c r="D12" s="52" t="str">
        <f>IF(C12&lt;&gt;"",CONCATENATE(C12,"-",COUNTIF($C$4:C12,C12),""),"")</f>
        <v>B1-K3-W1-2-6</v>
      </c>
      <c r="E12" s="35" t="s">
        <v>81</v>
      </c>
      <c r="F12" s="35" t="s">
        <v>117</v>
      </c>
      <c r="G12" s="35" t="s">
        <v>119</v>
      </c>
      <c r="H12" s="35" t="s">
        <v>118</v>
      </c>
      <c r="I12" s="35"/>
      <c r="J12" s="35"/>
      <c r="K12" s="50"/>
    </row>
    <row r="13" spans="1:11" ht="240" x14ac:dyDescent="0.25">
      <c r="A13" s="48" t="s">
        <v>73</v>
      </c>
      <c r="B13" s="49">
        <v>3</v>
      </c>
      <c r="C13" s="51" t="str">
        <f t="shared" si="0"/>
        <v>B1-K3-W2-3</v>
      </c>
      <c r="D13" s="52" t="str">
        <f>IF(C13&lt;&gt;"",CONCATENATE(C13,"-",COUNTIF($C$4:C13,C13),""),"")</f>
        <v>B1-K3-W2-3-1</v>
      </c>
      <c r="E13" s="35" t="s">
        <v>78</v>
      </c>
      <c r="F13" s="35" t="s">
        <v>120</v>
      </c>
      <c r="G13" s="35" t="s">
        <v>217</v>
      </c>
      <c r="H13" s="35" t="s">
        <v>121</v>
      </c>
      <c r="I13" s="35"/>
      <c r="J13" s="35"/>
      <c r="K13" s="50"/>
    </row>
    <row r="14" spans="1:11" ht="105" x14ac:dyDescent="0.25">
      <c r="A14" s="48" t="s">
        <v>73</v>
      </c>
      <c r="B14" s="49">
        <v>3</v>
      </c>
      <c r="C14" s="51" t="str">
        <f t="shared" si="0"/>
        <v>B1-K3-W2-3</v>
      </c>
      <c r="D14" s="52" t="str">
        <f>IF(C14&lt;&gt;"",CONCATENATE(C14,"-",COUNTIF($C$4:C14,C14),""),"")</f>
        <v>B1-K3-W2-3-2</v>
      </c>
      <c r="E14" s="35" t="s">
        <v>78</v>
      </c>
      <c r="F14" s="35" t="s">
        <v>122</v>
      </c>
      <c r="G14" s="35" t="s">
        <v>124</v>
      </c>
      <c r="H14" s="35" t="s">
        <v>123</v>
      </c>
      <c r="I14" s="36"/>
      <c r="J14" s="36"/>
      <c r="K14" s="50"/>
    </row>
    <row r="15" spans="1:11" ht="165" x14ac:dyDescent="0.25">
      <c r="A15" s="48" t="s">
        <v>73</v>
      </c>
      <c r="B15" s="49">
        <v>3</v>
      </c>
      <c r="C15" s="51" t="str">
        <f t="shared" si="0"/>
        <v>B1-K3-W2-3</v>
      </c>
      <c r="D15" s="52" t="str">
        <f>IF(C15&lt;&gt;"",CONCATENATE(C15,"-",COUNTIF($C$4:C15,C15),""),"")</f>
        <v>B1-K3-W2-3-3</v>
      </c>
      <c r="E15" s="35" t="s">
        <v>78</v>
      </c>
      <c r="F15" s="35" t="s">
        <v>125</v>
      </c>
      <c r="G15" s="35" t="s">
        <v>129</v>
      </c>
      <c r="H15" s="35" t="s">
        <v>126</v>
      </c>
      <c r="I15" s="35" t="s">
        <v>127</v>
      </c>
      <c r="J15" s="35" t="s">
        <v>128</v>
      </c>
      <c r="K15" s="50"/>
    </row>
    <row r="16" spans="1:11" ht="180" x14ac:dyDescent="0.25">
      <c r="A16" s="48" t="s">
        <v>73</v>
      </c>
      <c r="B16" s="49">
        <v>3</v>
      </c>
      <c r="C16" s="51" t="str">
        <f t="shared" si="0"/>
        <v>B1-K3-W2-3</v>
      </c>
      <c r="D16" s="52" t="str">
        <f>IF(C16&lt;&gt;"",CONCATENATE(C16,"-",COUNTIF($C$4:C16,C16),""),"")</f>
        <v>B1-K3-W2-3-4</v>
      </c>
      <c r="E16" s="35" t="s">
        <v>78</v>
      </c>
      <c r="F16" s="35" t="s">
        <v>130</v>
      </c>
      <c r="G16" s="35" t="s">
        <v>131</v>
      </c>
      <c r="H16" s="35" t="s">
        <v>134</v>
      </c>
      <c r="I16" s="35" t="s">
        <v>132</v>
      </c>
      <c r="J16" s="35" t="s">
        <v>133</v>
      </c>
      <c r="K16" s="50"/>
    </row>
    <row r="17" spans="1:11" ht="165" x14ac:dyDescent="0.25">
      <c r="A17" s="48" t="s">
        <v>74</v>
      </c>
      <c r="B17" s="49">
        <v>4</v>
      </c>
      <c r="C17" s="51" t="str">
        <f t="shared" si="0"/>
        <v>B1-K3-W3-4</v>
      </c>
      <c r="D17" s="52" t="str">
        <f>IF(C17&lt;&gt;"",CONCATENATE(C17,"-",COUNTIF($C$4:C17,C17),""),"")</f>
        <v>B1-K3-W3-4-1</v>
      </c>
      <c r="E17" s="35" t="s">
        <v>136</v>
      </c>
      <c r="F17" s="35" t="s">
        <v>135</v>
      </c>
      <c r="G17" s="35" t="s">
        <v>140</v>
      </c>
      <c r="H17" s="35" t="s">
        <v>137</v>
      </c>
      <c r="I17" s="35" t="s">
        <v>138</v>
      </c>
      <c r="J17" s="35" t="s">
        <v>139</v>
      </c>
      <c r="K17" s="50"/>
    </row>
    <row r="18" spans="1:11" ht="165" x14ac:dyDescent="0.25">
      <c r="A18" s="48" t="s">
        <v>74</v>
      </c>
      <c r="B18" s="49">
        <v>4</v>
      </c>
      <c r="C18" s="51" t="str">
        <f t="shared" si="0"/>
        <v>B1-K3-W3-4</v>
      </c>
      <c r="D18" s="52" t="str">
        <f>IF(C18&lt;&gt;"",CONCATENATE(C18,"-",COUNTIF($C$4:C18,C18),""),"")</f>
        <v>B1-K3-W3-4-2</v>
      </c>
      <c r="E18" s="35" t="s">
        <v>136</v>
      </c>
      <c r="F18" s="35" t="s">
        <v>141</v>
      </c>
      <c r="G18" s="35" t="s">
        <v>145</v>
      </c>
      <c r="H18" s="35" t="s">
        <v>142</v>
      </c>
      <c r="I18" s="35" t="s">
        <v>143</v>
      </c>
      <c r="J18" s="35" t="s">
        <v>144</v>
      </c>
      <c r="K18" s="50"/>
    </row>
    <row r="19" spans="1:11" ht="75" x14ac:dyDescent="0.25">
      <c r="A19" s="48" t="s">
        <v>74</v>
      </c>
      <c r="B19" s="49">
        <v>4</v>
      </c>
      <c r="C19" s="51" t="str">
        <f t="shared" si="0"/>
        <v>B1-K3-W3-4</v>
      </c>
      <c r="D19" s="52" t="str">
        <f>IF(C19&lt;&gt;"",CONCATENATE(C19,"-",COUNTIF($C$4:C19,C19),""),"")</f>
        <v>B1-K3-W3-4-3</v>
      </c>
      <c r="E19" s="35" t="s">
        <v>136</v>
      </c>
      <c r="F19" s="35" t="s">
        <v>146</v>
      </c>
      <c r="G19" s="35" t="s">
        <v>150</v>
      </c>
      <c r="H19" s="35" t="s">
        <v>147</v>
      </c>
      <c r="I19" s="35" t="s">
        <v>148</v>
      </c>
      <c r="J19" s="35" t="s">
        <v>149</v>
      </c>
      <c r="K19" s="50"/>
    </row>
    <row r="20" spans="1:11" ht="45" x14ac:dyDescent="0.25">
      <c r="A20" s="48" t="s">
        <v>74</v>
      </c>
      <c r="B20" s="49">
        <v>4</v>
      </c>
      <c r="C20" s="51" t="str">
        <f t="shared" si="0"/>
        <v>B1-K3-W3-4</v>
      </c>
      <c r="D20" s="52" t="str">
        <f>IF(C20&lt;&gt;"",CONCATENATE(C20,"-",COUNTIF($C$4:C20,C20),""),"")</f>
        <v>B1-K3-W3-4-4</v>
      </c>
      <c r="E20" s="35" t="s">
        <v>80</v>
      </c>
      <c r="F20" s="35" t="s">
        <v>151</v>
      </c>
      <c r="G20" s="35" t="s">
        <v>153</v>
      </c>
      <c r="H20" s="35" t="s">
        <v>152</v>
      </c>
      <c r="I20" s="35"/>
      <c r="J20" s="35"/>
      <c r="K20" s="50"/>
    </row>
    <row r="21" spans="1:11" ht="293.25" customHeight="1" x14ac:dyDescent="0.25">
      <c r="A21" s="48"/>
      <c r="B21" s="49"/>
      <c r="C21" s="51" t="str">
        <f t="shared" si="0"/>
        <v/>
      </c>
      <c r="D21" s="52" t="str">
        <f>IF(C21&lt;&gt;"",CONCATENATE(C21,"-",COUNTIF($C$4:C21,C21),""),"")</f>
        <v/>
      </c>
      <c r="E21" s="35"/>
      <c r="F21" s="35"/>
      <c r="G21" s="35"/>
      <c r="H21" s="35"/>
      <c r="I21" s="35"/>
      <c r="J21" s="35"/>
      <c r="K21" s="50"/>
    </row>
    <row r="22" spans="1:11" ht="293.25" customHeight="1" x14ac:dyDescent="0.25">
      <c r="A22" s="25"/>
      <c r="B22" s="26"/>
      <c r="C22" s="51" t="str">
        <f t="shared" si="0"/>
        <v/>
      </c>
      <c r="D22" s="52" t="str">
        <f>IF(C22&lt;&gt;"",CONCATENATE(C22,"-",COUNTIF($C$4:C22,C22),""),"")</f>
        <v/>
      </c>
      <c r="E22" s="27"/>
      <c r="F22" s="27"/>
      <c r="G22" s="36"/>
      <c r="H22" s="36"/>
      <c r="I22" s="36"/>
      <c r="J22" s="36"/>
      <c r="K22" s="28"/>
    </row>
    <row r="23" spans="1:11" ht="293.25" customHeight="1" x14ac:dyDescent="0.25">
      <c r="A23" s="25"/>
      <c r="B23" s="26"/>
      <c r="C23" s="51" t="str">
        <f t="shared" si="0"/>
        <v/>
      </c>
      <c r="D23" s="52" t="str">
        <f>IF(C23&lt;&gt;"",CONCATENATE(C23,"-",COUNTIF($C$4:C23,C23),""),"")</f>
        <v/>
      </c>
      <c r="E23" s="27"/>
      <c r="F23" s="27"/>
      <c r="G23" s="36"/>
      <c r="H23" s="36"/>
      <c r="I23" s="36"/>
      <c r="J23" s="36"/>
      <c r="K23" s="28"/>
    </row>
    <row r="24" spans="1:11" ht="293.25" customHeight="1" x14ac:dyDescent="0.25">
      <c r="A24" s="25"/>
      <c r="B24" s="26"/>
      <c r="C24" s="51" t="str">
        <f t="shared" si="0"/>
        <v/>
      </c>
      <c r="D24" s="52" t="str">
        <f>IF(C24&lt;&gt;"",CONCATENATE(C24,"-",COUNTIF($C$4:C24,C24),""),"")</f>
        <v/>
      </c>
      <c r="E24" s="27"/>
      <c r="F24" s="27"/>
      <c r="G24" s="36"/>
      <c r="H24" s="36"/>
      <c r="I24" s="36"/>
      <c r="J24" s="36"/>
      <c r="K24" s="28"/>
    </row>
    <row r="25" spans="1:11" ht="293.25" customHeight="1" x14ac:dyDescent="0.25">
      <c r="A25" s="25"/>
      <c r="B25" s="26"/>
      <c r="C25" s="51" t="str">
        <f t="shared" si="0"/>
        <v/>
      </c>
      <c r="D25" s="52" t="str">
        <f>IF(C25&lt;&gt;"",CONCATENATE(C25,"-",COUNTIF($C$4:C25,C25),""),"")</f>
        <v/>
      </c>
      <c r="E25" s="27"/>
      <c r="F25" s="27"/>
      <c r="G25" s="36"/>
      <c r="H25" s="36"/>
      <c r="I25" s="36"/>
      <c r="J25" s="36"/>
      <c r="K25" s="28"/>
    </row>
    <row r="26" spans="1:11" ht="293.25" customHeight="1" x14ac:dyDescent="0.25">
      <c r="A26" s="25"/>
      <c r="B26" s="26"/>
      <c r="C26" s="51" t="str">
        <f t="shared" si="0"/>
        <v/>
      </c>
      <c r="D26" s="52" t="str">
        <f>IF(C26&lt;&gt;"",CONCATENATE(C26,"-",COUNTIF($C$4:C26,C26),""),"")</f>
        <v/>
      </c>
      <c r="E26" s="27"/>
      <c r="F26" s="27"/>
      <c r="G26" s="36"/>
      <c r="H26" s="36"/>
      <c r="I26" s="36"/>
      <c r="J26" s="36"/>
      <c r="K26" s="28"/>
    </row>
    <row r="27" spans="1:11" ht="293.25" customHeight="1" x14ac:dyDescent="0.25">
      <c r="A27" s="25"/>
      <c r="B27" s="26"/>
      <c r="C27" s="51" t="str">
        <f t="shared" si="0"/>
        <v/>
      </c>
      <c r="D27" s="52" t="str">
        <f>IF(C27&lt;&gt;"",CONCATENATE(C27,"-",COUNTIF($C$4:C27,C27),""),"")</f>
        <v/>
      </c>
      <c r="E27" s="27"/>
      <c r="F27" s="27"/>
      <c r="G27" s="36"/>
      <c r="H27" s="36"/>
      <c r="I27" s="36"/>
      <c r="J27" s="36"/>
      <c r="K27" s="28"/>
    </row>
    <row r="28" spans="1:11" ht="293.25" customHeight="1" x14ac:dyDescent="0.25">
      <c r="A28" s="25"/>
      <c r="B28" s="26"/>
      <c r="C28" s="51" t="str">
        <f t="shared" si="0"/>
        <v/>
      </c>
      <c r="D28" s="52" t="str">
        <f>IF(C28&lt;&gt;"",CONCATENATE(C28,"-",COUNTIF($C$4:C28,C28),""),"")</f>
        <v/>
      </c>
      <c r="E28" s="27"/>
      <c r="F28" s="27"/>
      <c r="G28" s="36"/>
      <c r="H28" s="36"/>
      <c r="I28" s="36"/>
      <c r="J28" s="36"/>
      <c r="K28" s="28"/>
    </row>
    <row r="29" spans="1:11" ht="293.25" customHeight="1" x14ac:dyDescent="0.25">
      <c r="A29" s="25"/>
      <c r="B29" s="26"/>
      <c r="C29" s="51" t="str">
        <f t="shared" si="0"/>
        <v/>
      </c>
      <c r="D29" s="52" t="str">
        <f>IF(C29&lt;&gt;"",CONCATENATE(C29,"-",COUNTIF($C$4:C29,C29),""),"")</f>
        <v/>
      </c>
      <c r="E29" s="27"/>
      <c r="F29" s="27"/>
      <c r="G29" s="36"/>
      <c r="H29" s="36"/>
      <c r="I29" s="36"/>
      <c r="J29" s="36"/>
      <c r="K29" s="28"/>
    </row>
    <row r="30" spans="1:11" ht="293.25" customHeight="1" x14ac:dyDescent="0.25">
      <c r="A30" s="25"/>
      <c r="B30" s="26"/>
      <c r="C30" s="51" t="str">
        <f t="shared" si="0"/>
        <v/>
      </c>
      <c r="D30" s="52" t="str">
        <f>IF(C30&lt;&gt;"",CONCATENATE(C30,"-",COUNTIF($C$4:C30,C30),""),"")</f>
        <v/>
      </c>
      <c r="E30" s="27"/>
      <c r="F30" s="27"/>
      <c r="G30" s="36"/>
      <c r="H30" s="36"/>
      <c r="I30" s="36"/>
      <c r="J30" s="36"/>
      <c r="K30" s="28"/>
    </row>
    <row r="31" spans="1:11" ht="293.25" customHeight="1" x14ac:dyDescent="0.25">
      <c r="A31" s="25"/>
      <c r="B31" s="26"/>
      <c r="C31" s="51" t="str">
        <f t="shared" si="0"/>
        <v/>
      </c>
      <c r="D31" s="52" t="str">
        <f>IF(C31&lt;&gt;"",CONCATENATE(C31,"-",COUNTIF($C$4:C31,C31),""),"")</f>
        <v/>
      </c>
      <c r="E31" s="27"/>
      <c r="F31" s="27"/>
      <c r="G31" s="36"/>
      <c r="H31" s="36"/>
      <c r="I31" s="36"/>
      <c r="J31" s="36"/>
      <c r="K31" s="28"/>
    </row>
    <row r="32" spans="1:11" ht="293.25" customHeight="1" x14ac:dyDescent="0.25">
      <c r="A32" s="25"/>
      <c r="B32" s="26"/>
      <c r="C32" s="51" t="str">
        <f t="shared" si="0"/>
        <v/>
      </c>
      <c r="D32" s="52" t="str">
        <f>IF(C32&lt;&gt;"",CONCATENATE(C32,"-",COUNTIF($C$4:C32,C32),""),"")</f>
        <v/>
      </c>
      <c r="E32" s="27"/>
      <c r="F32" s="27"/>
      <c r="G32" s="36"/>
      <c r="H32" s="36"/>
      <c r="I32" s="36"/>
      <c r="J32" s="36"/>
      <c r="K32" s="28"/>
    </row>
    <row r="33" spans="1:11" ht="293.25" customHeight="1" x14ac:dyDescent="0.25">
      <c r="A33" s="25"/>
      <c r="B33" s="26"/>
      <c r="C33" s="51" t="str">
        <f t="shared" si="0"/>
        <v/>
      </c>
      <c r="D33" s="52" t="str">
        <f>IF(C33&lt;&gt;"",CONCATENATE(C33,"-",COUNTIF($C$4:C33,C33),""),"")</f>
        <v/>
      </c>
      <c r="E33" s="27"/>
      <c r="F33" s="27"/>
      <c r="G33" s="36"/>
      <c r="H33" s="36"/>
      <c r="I33" s="36"/>
      <c r="J33" s="36"/>
      <c r="K33" s="28"/>
    </row>
    <row r="34" spans="1:11" ht="293.25" customHeight="1" x14ac:dyDescent="0.25">
      <c r="A34" s="25"/>
      <c r="B34" s="26"/>
      <c r="C34" s="51" t="str">
        <f t="shared" si="0"/>
        <v/>
      </c>
      <c r="D34" s="52" t="str">
        <f>IF(C34&lt;&gt;"",CONCATENATE(C34,"-",COUNTIF($C$4:C34,C34),""),"")</f>
        <v/>
      </c>
      <c r="E34" s="27"/>
      <c r="F34" s="27"/>
      <c r="G34" s="36"/>
      <c r="H34" s="36"/>
      <c r="I34" s="36"/>
      <c r="J34" s="36"/>
      <c r="K34" s="28"/>
    </row>
    <row r="35" spans="1:11" ht="293.25" customHeight="1" x14ac:dyDescent="0.25">
      <c r="A35" s="25"/>
      <c r="B35" s="26"/>
      <c r="C35" s="51" t="str">
        <f t="shared" si="0"/>
        <v/>
      </c>
      <c r="D35" s="52" t="str">
        <f>IF(C35&lt;&gt;"",CONCATENATE(C35,"-",COUNTIF($C$4:C35,C35),""),"")</f>
        <v/>
      </c>
      <c r="E35" s="27"/>
      <c r="F35" s="27"/>
      <c r="G35" s="36"/>
      <c r="H35" s="36"/>
      <c r="I35" s="36"/>
      <c r="J35" s="36"/>
      <c r="K35" s="28"/>
    </row>
    <row r="36" spans="1:11" ht="293.25" customHeight="1" x14ac:dyDescent="0.25">
      <c r="A36" s="25"/>
      <c r="B36" s="26"/>
      <c r="C36" s="51" t="str">
        <f t="shared" si="0"/>
        <v/>
      </c>
      <c r="D36" s="52" t="str">
        <f>IF(C36&lt;&gt;"",CONCATENATE(C36,"-",COUNTIF($C$4:C36,C36),""),"")</f>
        <v/>
      </c>
      <c r="E36" s="27"/>
      <c r="F36" s="27"/>
      <c r="G36" s="36"/>
      <c r="H36" s="36"/>
      <c r="I36" s="36"/>
      <c r="J36" s="36"/>
      <c r="K36" s="28"/>
    </row>
    <row r="37" spans="1:11" ht="293.25" customHeight="1" x14ac:dyDescent="0.25">
      <c r="A37" s="48"/>
      <c r="B37" s="49"/>
      <c r="C37" s="51" t="str">
        <f t="shared" si="0"/>
        <v/>
      </c>
      <c r="D37" s="52" t="str">
        <f>IF(C37&lt;&gt;"",CONCATENATE(C37,"-",COUNTIF($C$4:C37,C37),""),"")</f>
        <v/>
      </c>
      <c r="E37" s="35"/>
      <c r="F37" s="35"/>
      <c r="G37" s="35"/>
      <c r="H37" s="35"/>
      <c r="I37" s="36"/>
      <c r="J37" s="36"/>
      <c r="K37" s="50"/>
    </row>
    <row r="38" spans="1:11" ht="293.25" customHeight="1" x14ac:dyDescent="0.25">
      <c r="A38" s="25"/>
      <c r="B38" s="26"/>
      <c r="C38" s="51" t="str">
        <f t="shared" si="0"/>
        <v/>
      </c>
      <c r="D38" s="52" t="str">
        <f>IF(C38&lt;&gt;"",CONCATENATE(C38,"-",COUNTIF($C$4:C38,C38),""),"")</f>
        <v/>
      </c>
      <c r="E38" s="27"/>
      <c r="F38" s="27"/>
      <c r="G38" s="36"/>
      <c r="H38" s="36"/>
      <c r="I38" s="36"/>
      <c r="J38" s="36"/>
      <c r="K38" s="28"/>
    </row>
    <row r="39" spans="1:11" ht="293.25" customHeight="1" x14ac:dyDescent="0.25">
      <c r="A39" s="25"/>
      <c r="B39" s="26"/>
      <c r="C39" s="51" t="str">
        <f t="shared" si="0"/>
        <v/>
      </c>
      <c r="D39" s="52" t="str">
        <f>IF(C39&lt;&gt;"",CONCATENATE(C39,"-",COUNTIF($C$4:C39,C39),""),"")</f>
        <v/>
      </c>
      <c r="E39" s="27"/>
      <c r="F39" s="27"/>
      <c r="G39" s="36"/>
      <c r="H39" s="36"/>
      <c r="I39" s="36"/>
      <c r="J39" s="36"/>
      <c r="K39" s="28"/>
    </row>
    <row r="40" spans="1:11" ht="293.25" customHeight="1" x14ac:dyDescent="0.25">
      <c r="A40" s="25"/>
      <c r="B40" s="26"/>
      <c r="C40" s="51" t="str">
        <f t="shared" si="0"/>
        <v/>
      </c>
      <c r="D40" s="52" t="str">
        <f>IF(C40&lt;&gt;"",CONCATENATE(C40,"-",COUNTIF($C$4:C40,C40),""),"")</f>
        <v/>
      </c>
      <c r="E40" s="27"/>
      <c r="F40" s="27"/>
      <c r="G40" s="36"/>
      <c r="H40" s="36"/>
      <c r="I40" s="36"/>
      <c r="J40" s="36"/>
      <c r="K40" s="28"/>
    </row>
    <row r="41" spans="1:11" ht="293.25" customHeight="1" x14ac:dyDescent="0.25">
      <c r="A41" s="25"/>
      <c r="B41" s="26"/>
      <c r="C41" s="51" t="str">
        <f t="shared" si="0"/>
        <v/>
      </c>
      <c r="D41" s="52" t="str">
        <f>IF(C41&lt;&gt;"",CONCATENATE(C41,"-",COUNTIF($C$4:C41,C41),""),"")</f>
        <v/>
      </c>
      <c r="E41" s="27"/>
      <c r="F41" s="27"/>
      <c r="G41" s="36"/>
      <c r="H41" s="36"/>
      <c r="I41" s="36"/>
      <c r="J41" s="36"/>
      <c r="K41" s="28"/>
    </row>
    <row r="42" spans="1:11" ht="293.25" customHeight="1" x14ac:dyDescent="0.25">
      <c r="A42" s="25"/>
      <c r="B42" s="26"/>
      <c r="C42" s="51" t="str">
        <f t="shared" si="0"/>
        <v/>
      </c>
      <c r="D42" s="52" t="str">
        <f>IF(C42&lt;&gt;"",CONCATENATE(C42,"-",COUNTIF($C$4:C42,C42),""),"")</f>
        <v/>
      </c>
      <c r="E42" s="27"/>
      <c r="F42" s="27"/>
      <c r="G42" s="36"/>
      <c r="H42" s="36"/>
      <c r="I42" s="36"/>
      <c r="J42" s="36"/>
      <c r="K42" s="28"/>
    </row>
    <row r="43" spans="1:11" ht="293.25" customHeight="1" x14ac:dyDescent="0.25">
      <c r="A43" s="25"/>
      <c r="B43" s="26"/>
      <c r="C43" s="51" t="str">
        <f t="shared" si="0"/>
        <v/>
      </c>
      <c r="D43" s="52" t="str">
        <f>IF(C43&lt;&gt;"",CONCATENATE(C43,"-",COUNTIF($C$4:C43,C43),""),"")</f>
        <v/>
      </c>
      <c r="E43" s="27"/>
      <c r="F43" s="27"/>
      <c r="G43" s="36"/>
      <c r="H43" s="36"/>
      <c r="I43" s="36"/>
      <c r="J43" s="36"/>
      <c r="K43" s="28"/>
    </row>
    <row r="44" spans="1:11" ht="293.25" customHeight="1" x14ac:dyDescent="0.25">
      <c r="A44" s="25"/>
      <c r="B44" s="26"/>
      <c r="C44" s="51" t="str">
        <f t="shared" si="0"/>
        <v/>
      </c>
      <c r="D44" s="52" t="str">
        <f>IF(C44&lt;&gt;"",CONCATENATE(C44,"-",COUNTIF($C$4:C44,C44),""),"")</f>
        <v/>
      </c>
      <c r="E44" s="27"/>
      <c r="F44" s="27"/>
      <c r="G44" s="36"/>
      <c r="H44" s="36"/>
      <c r="I44" s="36"/>
      <c r="J44" s="36"/>
      <c r="K44" s="28"/>
    </row>
    <row r="45" spans="1:11" ht="293.25" customHeight="1" x14ac:dyDescent="0.25">
      <c r="A45" s="25"/>
      <c r="B45" s="26"/>
      <c r="C45" s="51" t="str">
        <f t="shared" si="0"/>
        <v/>
      </c>
      <c r="D45" s="52" t="str">
        <f>IF(C45&lt;&gt;"",CONCATENATE(C45,"-",COUNTIF($C$4:C45,C45),""),"")</f>
        <v/>
      </c>
      <c r="E45" s="27"/>
      <c r="F45" s="27"/>
      <c r="G45" s="36"/>
      <c r="H45" s="36"/>
      <c r="I45" s="36"/>
      <c r="J45" s="36"/>
      <c r="K45" s="28"/>
    </row>
    <row r="46" spans="1:11" ht="293.25" customHeight="1" x14ac:dyDescent="0.25">
      <c r="A46" s="25"/>
      <c r="B46" s="26"/>
      <c r="C46" s="51" t="str">
        <f t="shared" si="0"/>
        <v/>
      </c>
      <c r="D46" s="52" t="str">
        <f>IF(C46&lt;&gt;"",CONCATENATE(C46,"-",COUNTIF($C$4:C46,C46),""),"")</f>
        <v/>
      </c>
      <c r="E46" s="27"/>
      <c r="F46" s="27"/>
      <c r="G46" s="36"/>
      <c r="H46" s="36"/>
      <c r="I46" s="36"/>
      <c r="J46" s="36"/>
      <c r="K46" s="28"/>
    </row>
    <row r="47" spans="1:11" ht="293.25" customHeight="1" x14ac:dyDescent="0.25">
      <c r="A47" s="25"/>
      <c r="B47" s="26"/>
      <c r="C47" s="51" t="str">
        <f t="shared" si="0"/>
        <v/>
      </c>
      <c r="D47" s="52" t="str">
        <f>IF(C47&lt;&gt;"",CONCATENATE(C47,"-",COUNTIF($C$4:C47,C47),""),"")</f>
        <v/>
      </c>
      <c r="E47" s="27"/>
      <c r="F47" s="27"/>
      <c r="G47" s="36"/>
      <c r="H47" s="36"/>
      <c r="I47" s="36"/>
      <c r="J47" s="36"/>
      <c r="K47" s="28"/>
    </row>
    <row r="48" spans="1:11" ht="293.25" customHeight="1" x14ac:dyDescent="0.25">
      <c r="A48" s="25"/>
      <c r="B48" s="26"/>
      <c r="C48" s="51" t="str">
        <f t="shared" si="0"/>
        <v/>
      </c>
      <c r="D48" s="52" t="str">
        <f>IF(C48&lt;&gt;"",CONCATENATE(C48,"-",COUNTIF($C$4:C48,C48),""),"")</f>
        <v/>
      </c>
      <c r="E48" s="27"/>
      <c r="F48" s="27"/>
      <c r="G48" s="36"/>
      <c r="H48" s="36"/>
      <c r="I48" s="36"/>
      <c r="J48" s="36"/>
      <c r="K48" s="28"/>
    </row>
    <row r="49" spans="1:11" ht="293.25" customHeight="1" x14ac:dyDescent="0.25">
      <c r="A49" s="25"/>
      <c r="B49" s="26"/>
      <c r="C49" s="51" t="str">
        <f t="shared" si="0"/>
        <v/>
      </c>
      <c r="D49" s="52" t="str">
        <f>IF(C49&lt;&gt;"",CONCATENATE(C49,"-",COUNTIF($C$4:C49,C49),""),"")</f>
        <v/>
      </c>
      <c r="E49" s="27"/>
      <c r="F49" s="27"/>
      <c r="G49" s="36"/>
      <c r="H49" s="36"/>
      <c r="I49" s="36"/>
      <c r="J49" s="36"/>
      <c r="K49" s="28"/>
    </row>
    <row r="50" spans="1:11" ht="293.25" customHeight="1" x14ac:dyDescent="0.25">
      <c r="A50" s="25"/>
      <c r="B50" s="26"/>
      <c r="C50" s="51" t="str">
        <f t="shared" si="0"/>
        <v/>
      </c>
      <c r="D50" s="52" t="str">
        <f>IF(C50&lt;&gt;"",CONCATENATE(C50,"-",COUNTIF($C$4:C50,C50),""),"")</f>
        <v/>
      </c>
      <c r="E50" s="27"/>
      <c r="F50" s="27"/>
      <c r="G50" s="36"/>
      <c r="H50" s="36"/>
      <c r="I50" s="36"/>
      <c r="J50" s="36"/>
      <c r="K50" s="28"/>
    </row>
    <row r="51" spans="1:11" ht="293.25" customHeight="1" x14ac:dyDescent="0.25">
      <c r="A51" s="25"/>
      <c r="B51" s="26"/>
      <c r="C51" s="51" t="str">
        <f t="shared" si="0"/>
        <v/>
      </c>
      <c r="D51" s="52" t="str">
        <f>IF(C51&lt;&gt;"",CONCATENATE(C51,"-",COUNTIF($C$4:C51,C51),""),"")</f>
        <v/>
      </c>
      <c r="E51" s="27"/>
      <c r="F51" s="27"/>
      <c r="G51" s="36"/>
      <c r="H51" s="36"/>
      <c r="I51" s="36"/>
      <c r="J51" s="36"/>
      <c r="K51" s="28"/>
    </row>
    <row r="52" spans="1:11" ht="293.25" customHeight="1" x14ac:dyDescent="0.25">
      <c r="A52" s="25"/>
      <c r="B52" s="26"/>
      <c r="C52" s="51" t="str">
        <f t="shared" si="0"/>
        <v/>
      </c>
      <c r="D52" s="52" t="str">
        <f>IF(C52&lt;&gt;"",CONCATENATE(C52,"-",COUNTIF($C$4:C52,C52),""),"")</f>
        <v/>
      </c>
      <c r="E52" s="27"/>
      <c r="F52" s="27"/>
      <c r="G52" s="36"/>
      <c r="H52" s="36"/>
      <c r="I52" s="36"/>
      <c r="J52" s="36"/>
      <c r="K52" s="28"/>
    </row>
    <row r="53" spans="1:11" ht="293.25" customHeight="1" x14ac:dyDescent="0.25">
      <c r="A53" s="25"/>
      <c r="B53" s="26"/>
      <c r="C53" s="51" t="str">
        <f t="shared" si="0"/>
        <v/>
      </c>
      <c r="D53" s="52" t="str">
        <f>IF(C53&lt;&gt;"",CONCATENATE(C53,"-",COUNTIF($C$4:C53,C53),""),"")</f>
        <v/>
      </c>
      <c r="E53" s="27"/>
      <c r="F53" s="27"/>
      <c r="G53" s="36"/>
      <c r="H53" s="36"/>
      <c r="I53" s="36"/>
      <c r="J53" s="36"/>
      <c r="K53" s="28"/>
    </row>
    <row r="54" spans="1:11" ht="293.25" customHeight="1" x14ac:dyDescent="0.25">
      <c r="A54" s="25"/>
      <c r="B54" s="26"/>
      <c r="C54" s="51" t="str">
        <f t="shared" si="0"/>
        <v/>
      </c>
      <c r="D54" s="52" t="str">
        <f>IF(C54&lt;&gt;"",CONCATENATE(C54,"-",COUNTIF($C$4:C54,C54),""),"")</f>
        <v/>
      </c>
      <c r="E54" s="27"/>
      <c r="F54" s="27"/>
      <c r="G54" s="36"/>
      <c r="H54" s="36"/>
      <c r="I54" s="36"/>
      <c r="J54" s="36"/>
      <c r="K54" s="28"/>
    </row>
    <row r="55" spans="1:11" ht="293.25" customHeight="1" x14ac:dyDescent="0.25">
      <c r="A55" s="25"/>
      <c r="B55" s="26"/>
      <c r="C55" s="51" t="str">
        <f t="shared" si="0"/>
        <v/>
      </c>
      <c r="D55" s="52" t="str">
        <f>IF(C55&lt;&gt;"",CONCATENATE(C55,"-",COUNTIF($C$4:C55,C55),""),"")</f>
        <v/>
      </c>
      <c r="E55" s="27"/>
      <c r="F55" s="27"/>
      <c r="G55" s="36"/>
      <c r="H55" s="36"/>
      <c r="I55" s="36"/>
      <c r="J55" s="36"/>
      <c r="K55" s="28"/>
    </row>
    <row r="56" spans="1:11" ht="293.25" customHeight="1" x14ac:dyDescent="0.25">
      <c r="A56" s="25"/>
      <c r="B56" s="26"/>
      <c r="C56" s="51" t="str">
        <f t="shared" si="0"/>
        <v/>
      </c>
      <c r="D56" s="52" t="str">
        <f>IF(C56&lt;&gt;"",CONCATENATE(C56,"-",COUNTIF($C$4:C56,C56),""),"")</f>
        <v/>
      </c>
      <c r="E56" s="27"/>
      <c r="F56" s="27"/>
      <c r="G56" s="36"/>
      <c r="H56" s="36"/>
      <c r="I56" s="36"/>
      <c r="J56" s="36"/>
      <c r="K56" s="28"/>
    </row>
    <row r="57" spans="1:11" ht="293.25" customHeight="1" x14ac:dyDescent="0.25">
      <c r="A57" s="25"/>
      <c r="B57" s="26"/>
      <c r="C57" s="51" t="str">
        <f t="shared" si="0"/>
        <v/>
      </c>
      <c r="D57" s="52" t="str">
        <f>IF(C57&lt;&gt;"",CONCATENATE(C57,"-",COUNTIF($C$4:C57,C57),""),"")</f>
        <v/>
      </c>
      <c r="E57" s="27"/>
      <c r="F57" s="27"/>
      <c r="G57" s="36"/>
      <c r="H57" s="36"/>
      <c r="I57" s="36"/>
      <c r="J57" s="36"/>
      <c r="K57" s="28"/>
    </row>
    <row r="58" spans="1:11" ht="293.25" customHeight="1" x14ac:dyDescent="0.25">
      <c r="A58" s="25"/>
      <c r="B58" s="26"/>
      <c r="C58" s="51" t="str">
        <f t="shared" si="0"/>
        <v/>
      </c>
      <c r="D58" s="52" t="str">
        <f>IF(C58&lt;&gt;"",CONCATENATE(C58,"-",COUNTIF($C$4:C58,C58),""),"")</f>
        <v/>
      </c>
      <c r="E58" s="27"/>
      <c r="F58" s="27"/>
      <c r="G58" s="36"/>
      <c r="H58" s="36"/>
      <c r="I58" s="36"/>
      <c r="J58" s="36"/>
      <c r="K58" s="28"/>
    </row>
    <row r="59" spans="1:11" ht="293.25" customHeight="1" x14ac:dyDescent="0.25">
      <c r="A59" s="25"/>
      <c r="B59" s="26"/>
      <c r="C59" s="51" t="str">
        <f t="shared" si="0"/>
        <v/>
      </c>
      <c r="D59" s="52" t="str">
        <f>IF(C59&lt;&gt;"",CONCATENATE(C59,"-",COUNTIF($C$4:C59,C59),""),"")</f>
        <v/>
      </c>
      <c r="E59" s="27"/>
      <c r="F59" s="27"/>
      <c r="G59" s="36"/>
      <c r="H59" s="36"/>
      <c r="I59" s="36"/>
      <c r="J59" s="36"/>
      <c r="K59" s="28"/>
    </row>
    <row r="60" spans="1:11" ht="293.25" customHeight="1" x14ac:dyDescent="0.25">
      <c r="A60" s="25"/>
      <c r="B60" s="26"/>
      <c r="C60" s="51" t="str">
        <f t="shared" si="0"/>
        <v/>
      </c>
      <c r="D60" s="52" t="str">
        <f>IF(C60&lt;&gt;"",CONCATENATE(C60,"-",COUNTIF($C$4:C60,C60),""),"")</f>
        <v/>
      </c>
      <c r="E60" s="27"/>
      <c r="F60" s="27"/>
      <c r="G60" s="36"/>
      <c r="H60" s="36"/>
      <c r="I60" s="36"/>
      <c r="J60" s="36"/>
      <c r="K60" s="28"/>
    </row>
    <row r="61" spans="1:11" ht="293.25" customHeight="1" x14ac:dyDescent="0.25">
      <c r="A61" s="25"/>
      <c r="B61" s="26"/>
      <c r="C61" s="51" t="str">
        <f t="shared" si="0"/>
        <v/>
      </c>
      <c r="D61" s="52" t="str">
        <f>IF(C61&lt;&gt;"",CONCATENATE(C61,"-",COUNTIF($C$4:C61,C61),""),"")</f>
        <v/>
      </c>
      <c r="E61" s="27"/>
      <c r="F61" s="27"/>
      <c r="G61" s="36"/>
      <c r="H61" s="36"/>
      <c r="I61" s="36"/>
      <c r="J61" s="36"/>
      <c r="K61" s="28"/>
    </row>
    <row r="62" spans="1:11" ht="293.25" customHeight="1" x14ac:dyDescent="0.25">
      <c r="A62" s="25"/>
      <c r="B62" s="26"/>
      <c r="C62" s="51" t="str">
        <f t="shared" si="0"/>
        <v/>
      </c>
      <c r="D62" s="52" t="str">
        <f>IF(C62&lt;&gt;"",CONCATENATE(C62,"-",COUNTIF($C$4:C62,C62),""),"")</f>
        <v/>
      </c>
      <c r="E62" s="27"/>
      <c r="F62" s="27"/>
      <c r="G62" s="36"/>
      <c r="H62" s="36"/>
      <c r="I62" s="36"/>
      <c r="J62" s="36"/>
      <c r="K62" s="28"/>
    </row>
    <row r="63" spans="1:11" ht="293.25" customHeight="1" x14ac:dyDescent="0.25">
      <c r="A63" s="25"/>
      <c r="B63" s="26"/>
      <c r="C63" s="51" t="str">
        <f t="shared" si="0"/>
        <v/>
      </c>
      <c r="D63" s="52" t="str">
        <f>IF(C63&lt;&gt;"",CONCATENATE(C63,"-",COUNTIF($C$4:C63,C63),""),"")</f>
        <v/>
      </c>
      <c r="E63" s="27"/>
      <c r="F63" s="27"/>
      <c r="G63" s="36"/>
      <c r="H63" s="36"/>
      <c r="I63" s="36"/>
      <c r="J63" s="36"/>
      <c r="K63" s="28"/>
    </row>
    <row r="64" spans="1:11" ht="293.25" customHeight="1" x14ac:dyDescent="0.25">
      <c r="A64" s="25"/>
      <c r="B64" s="26"/>
      <c r="C64" s="51" t="str">
        <f t="shared" si="0"/>
        <v/>
      </c>
      <c r="D64" s="52" t="str">
        <f>IF(C64&lt;&gt;"",CONCATENATE(C64,"-",COUNTIF($C$4:C64,C64),""),"")</f>
        <v/>
      </c>
      <c r="E64" s="27"/>
      <c r="F64" s="27"/>
      <c r="G64" s="36"/>
      <c r="H64" s="36"/>
      <c r="I64" s="36"/>
      <c r="J64" s="36"/>
      <c r="K64" s="28"/>
    </row>
    <row r="65" spans="1:11" ht="293.25" customHeight="1" x14ac:dyDescent="0.25">
      <c r="A65" s="25"/>
      <c r="B65" s="26"/>
      <c r="C65" s="51" t="str">
        <f t="shared" si="0"/>
        <v/>
      </c>
      <c r="D65" s="52" t="str">
        <f>IF(C65&lt;&gt;"",CONCATENATE(C65,"-",COUNTIF($C$4:C65,C65),""),"")</f>
        <v/>
      </c>
      <c r="E65" s="27"/>
      <c r="F65" s="27"/>
      <c r="G65" s="36"/>
      <c r="H65" s="36"/>
      <c r="I65" s="36"/>
      <c r="J65" s="36"/>
      <c r="K65" s="28"/>
    </row>
    <row r="66" spans="1:11" ht="293.25" customHeight="1" x14ac:dyDescent="0.25">
      <c r="A66" s="25"/>
      <c r="B66" s="26"/>
      <c r="C66" s="51" t="str">
        <f t="shared" si="0"/>
        <v/>
      </c>
      <c r="D66" s="52" t="str">
        <f>IF(C66&lt;&gt;"",CONCATENATE(C66,"-",COUNTIF($C$4:C66,C66),""),"")</f>
        <v/>
      </c>
      <c r="E66" s="27"/>
      <c r="F66" s="27"/>
      <c r="G66" s="36"/>
      <c r="H66" s="36"/>
      <c r="I66" s="36"/>
      <c r="J66" s="36"/>
      <c r="K66" s="28"/>
    </row>
    <row r="67" spans="1:11" ht="293.25" customHeight="1" x14ac:dyDescent="0.25">
      <c r="A67" s="25"/>
      <c r="B67" s="26"/>
      <c r="C67" s="51" t="str">
        <f t="shared" si="0"/>
        <v/>
      </c>
      <c r="D67" s="52" t="str">
        <f>IF(C67&lt;&gt;"",CONCATENATE(C67,"-",COUNTIF($C$4:C67,C67),""),"")</f>
        <v/>
      </c>
      <c r="E67" s="27"/>
      <c r="F67" s="27"/>
      <c r="G67" s="36"/>
      <c r="H67" s="36"/>
      <c r="I67" s="36"/>
      <c r="J67" s="36"/>
      <c r="K67" s="28"/>
    </row>
    <row r="68" spans="1:11" ht="293.25" customHeight="1" x14ac:dyDescent="0.25">
      <c r="A68" s="25"/>
      <c r="B68" s="26"/>
      <c r="C68" s="51" t="str">
        <f t="shared" si="0"/>
        <v/>
      </c>
      <c r="D68" s="52" t="str">
        <f>IF(C68&lt;&gt;"",CONCATENATE(C68,"-",COUNTIF($C$4:C68,C68),""),"")</f>
        <v/>
      </c>
      <c r="E68" s="27"/>
      <c r="F68" s="27"/>
      <c r="G68" s="36"/>
      <c r="H68" s="36"/>
      <c r="I68" s="36"/>
      <c r="J68" s="36"/>
      <c r="K68" s="28"/>
    </row>
    <row r="69" spans="1:11" ht="293.25" customHeight="1" x14ac:dyDescent="0.25">
      <c r="A69" s="25"/>
      <c r="B69" s="26"/>
      <c r="C69" s="51" t="str">
        <f t="shared" ref="C69:C104" si="1">IF(A69&lt;&gt;"",CONCATENATE(A69,"-",B69),"")</f>
        <v/>
      </c>
      <c r="D69" s="52" t="str">
        <f>IF(C69&lt;&gt;"",CONCATENATE(C69,"-",COUNTIF($C$4:C69,C69),""),"")</f>
        <v/>
      </c>
      <c r="E69" s="27"/>
      <c r="F69" s="27"/>
      <c r="G69" s="36"/>
      <c r="H69" s="36"/>
      <c r="I69" s="36"/>
      <c r="J69" s="36"/>
      <c r="K69" s="28"/>
    </row>
    <row r="70" spans="1:11" ht="293.25" customHeight="1" x14ac:dyDescent="0.25">
      <c r="A70" s="25"/>
      <c r="B70" s="26"/>
      <c r="C70" s="51" t="str">
        <f t="shared" si="1"/>
        <v/>
      </c>
      <c r="D70" s="52" t="str">
        <f>IF(C70&lt;&gt;"",CONCATENATE(C70,"-",COUNTIF($C$4:C70,C70),""),"")</f>
        <v/>
      </c>
      <c r="E70" s="27"/>
      <c r="F70" s="27"/>
      <c r="G70" s="36"/>
      <c r="H70" s="36"/>
      <c r="I70" s="36"/>
      <c r="J70" s="36"/>
      <c r="K70" s="28"/>
    </row>
    <row r="71" spans="1:11" ht="293.25" customHeight="1" x14ac:dyDescent="0.25">
      <c r="A71" s="25"/>
      <c r="B71" s="26"/>
      <c r="C71" s="51" t="str">
        <f t="shared" si="1"/>
        <v/>
      </c>
      <c r="D71" s="52" t="str">
        <f>IF(C71&lt;&gt;"",CONCATENATE(C71,"-",COUNTIF($C$4:C71,C71),""),"")</f>
        <v/>
      </c>
      <c r="E71" s="27"/>
      <c r="F71" s="27"/>
      <c r="G71" s="36"/>
      <c r="H71" s="36"/>
      <c r="I71" s="36"/>
      <c r="J71" s="36"/>
      <c r="K71" s="28"/>
    </row>
    <row r="72" spans="1:11" ht="293.25" customHeight="1" x14ac:dyDescent="0.25">
      <c r="A72" s="25"/>
      <c r="B72" s="26"/>
      <c r="C72" s="51" t="str">
        <f t="shared" si="1"/>
        <v/>
      </c>
      <c r="D72" s="52" t="str">
        <f>IF(C72&lt;&gt;"",CONCATENATE(C72,"-",COUNTIF($C$4:C72,C72),""),"")</f>
        <v/>
      </c>
      <c r="E72" s="27"/>
      <c r="F72" s="27"/>
      <c r="G72" s="36"/>
      <c r="H72" s="36"/>
      <c r="I72" s="36"/>
      <c r="J72" s="36"/>
      <c r="K72" s="28"/>
    </row>
    <row r="73" spans="1:11" ht="293.25" customHeight="1" x14ac:dyDescent="0.25">
      <c r="A73" s="25"/>
      <c r="B73" s="26"/>
      <c r="C73" s="51" t="str">
        <f t="shared" si="1"/>
        <v/>
      </c>
      <c r="D73" s="52" t="str">
        <f>IF(C73&lt;&gt;"",CONCATENATE(C73,"-",COUNTIF($C$4:C73,C73),""),"")</f>
        <v/>
      </c>
      <c r="E73" s="27"/>
      <c r="F73" s="27"/>
      <c r="G73" s="36"/>
      <c r="H73" s="36"/>
      <c r="I73" s="36"/>
      <c r="J73" s="36"/>
      <c r="K73" s="28"/>
    </row>
    <row r="74" spans="1:11" ht="293.25" customHeight="1" x14ac:dyDescent="0.25">
      <c r="A74" s="25"/>
      <c r="B74" s="26"/>
      <c r="C74" s="51" t="str">
        <f t="shared" si="1"/>
        <v/>
      </c>
      <c r="D74" s="52" t="str">
        <f>IF(C74&lt;&gt;"",CONCATENATE(C74,"-",COUNTIF($C$4:C74,C74),""),"")</f>
        <v/>
      </c>
      <c r="E74" s="27"/>
      <c r="F74" s="27"/>
      <c r="G74" s="36"/>
      <c r="H74" s="36"/>
      <c r="I74" s="36"/>
      <c r="J74" s="36"/>
      <c r="K74" s="28"/>
    </row>
    <row r="75" spans="1:11" ht="293.25" customHeight="1" x14ac:dyDescent="0.25">
      <c r="A75" s="25"/>
      <c r="B75" s="26"/>
      <c r="C75" s="51" t="str">
        <f t="shared" si="1"/>
        <v/>
      </c>
      <c r="D75" s="52" t="str">
        <f>IF(C75&lt;&gt;"",CONCATENATE(C75,"-",COUNTIF($C$4:C75,C75),""),"")</f>
        <v/>
      </c>
      <c r="E75" s="27"/>
      <c r="F75" s="27"/>
      <c r="G75" s="36"/>
      <c r="H75" s="36"/>
      <c r="I75" s="36"/>
      <c r="J75" s="36"/>
      <c r="K75" s="28"/>
    </row>
    <row r="76" spans="1:11" ht="293.25" customHeight="1" x14ac:dyDescent="0.25">
      <c r="A76" s="25"/>
      <c r="B76" s="26"/>
      <c r="C76" s="51" t="str">
        <f t="shared" si="1"/>
        <v/>
      </c>
      <c r="D76" s="52" t="str">
        <f>IF(C76&lt;&gt;"",CONCATENATE(C76,"-",COUNTIF($C$4:C76,C76),""),"")</f>
        <v/>
      </c>
      <c r="E76" s="27"/>
      <c r="F76" s="27"/>
      <c r="G76" s="36"/>
      <c r="H76" s="36"/>
      <c r="I76" s="36"/>
      <c r="J76" s="36"/>
      <c r="K76" s="28"/>
    </row>
    <row r="77" spans="1:11" ht="293.25" customHeight="1" x14ac:dyDescent="0.25">
      <c r="A77" s="25"/>
      <c r="B77" s="26"/>
      <c r="C77" s="51" t="str">
        <f t="shared" si="1"/>
        <v/>
      </c>
      <c r="D77" s="52" t="str">
        <f>IF(C77&lt;&gt;"",CONCATENATE(C77,"-",COUNTIF($C$4:C77,C77),""),"")</f>
        <v/>
      </c>
      <c r="E77" s="27"/>
      <c r="F77" s="27"/>
      <c r="G77" s="36"/>
      <c r="H77" s="36"/>
      <c r="I77" s="36"/>
      <c r="J77" s="36"/>
      <c r="K77" s="28"/>
    </row>
    <row r="78" spans="1:11" ht="293.25" customHeight="1" x14ac:dyDescent="0.25">
      <c r="A78" s="25"/>
      <c r="B78" s="26"/>
      <c r="C78" s="51" t="str">
        <f t="shared" si="1"/>
        <v/>
      </c>
      <c r="D78" s="52" t="str">
        <f>IF(C78&lt;&gt;"",CONCATENATE(C78,"-",COUNTIF($C$4:C78,C78),""),"")</f>
        <v/>
      </c>
      <c r="E78" s="27"/>
      <c r="F78" s="27"/>
      <c r="G78" s="36"/>
      <c r="H78" s="36"/>
      <c r="I78" s="36"/>
      <c r="J78" s="36"/>
      <c r="K78" s="28"/>
    </row>
    <row r="79" spans="1:11" ht="293.25" customHeight="1" x14ac:dyDescent="0.25">
      <c r="A79" s="25"/>
      <c r="B79" s="26"/>
      <c r="C79" s="51" t="str">
        <f t="shared" si="1"/>
        <v/>
      </c>
      <c r="D79" s="52" t="str">
        <f>IF(C79&lt;&gt;"",CONCATENATE(C79,"-",COUNTIF($C$4:C79,C79),""),"")</f>
        <v/>
      </c>
      <c r="E79" s="27"/>
      <c r="F79" s="27"/>
      <c r="G79" s="36"/>
      <c r="H79" s="36"/>
      <c r="I79" s="36"/>
      <c r="J79" s="36"/>
      <c r="K79" s="28"/>
    </row>
    <row r="80" spans="1:11" ht="293.25" customHeight="1" x14ac:dyDescent="0.25">
      <c r="A80" s="25"/>
      <c r="B80" s="26"/>
      <c r="C80" s="51" t="str">
        <f t="shared" si="1"/>
        <v/>
      </c>
      <c r="D80" s="52" t="str">
        <f>IF(C80&lt;&gt;"",CONCATENATE(C80,"-",COUNTIF($C$4:C80,C80),""),"")</f>
        <v/>
      </c>
      <c r="E80" s="27"/>
      <c r="F80" s="27"/>
      <c r="G80" s="36"/>
      <c r="H80" s="36"/>
      <c r="I80" s="36"/>
      <c r="J80" s="36"/>
      <c r="K80" s="28"/>
    </row>
    <row r="81" spans="1:11" ht="293.25" customHeight="1" x14ac:dyDescent="0.25">
      <c r="A81" s="25"/>
      <c r="B81" s="26"/>
      <c r="C81" s="51" t="str">
        <f t="shared" si="1"/>
        <v/>
      </c>
      <c r="D81" s="52" t="str">
        <f>IF(C81&lt;&gt;"",CONCATENATE(C81,"-",COUNTIF($C$4:C81,C81),""),"")</f>
        <v/>
      </c>
      <c r="E81" s="27"/>
      <c r="F81" s="27"/>
      <c r="G81" s="36"/>
      <c r="H81" s="36"/>
      <c r="I81" s="36"/>
      <c r="J81" s="36"/>
      <c r="K81" s="28"/>
    </row>
    <row r="82" spans="1:11" ht="293.25" customHeight="1" x14ac:dyDescent="0.25">
      <c r="A82" s="25"/>
      <c r="B82" s="26"/>
      <c r="C82" s="51" t="str">
        <f t="shared" si="1"/>
        <v/>
      </c>
      <c r="D82" s="52" t="str">
        <f>IF(C82&lt;&gt;"",CONCATENATE(C82,"-",COUNTIF($C$4:C82,C82),""),"")</f>
        <v/>
      </c>
      <c r="E82" s="27"/>
      <c r="F82" s="27"/>
      <c r="G82" s="36"/>
      <c r="H82" s="36"/>
      <c r="I82" s="36"/>
      <c r="J82" s="36"/>
      <c r="K82" s="28"/>
    </row>
    <row r="83" spans="1:11" ht="293.25" customHeight="1" x14ac:dyDescent="0.25">
      <c r="A83" s="25"/>
      <c r="B83" s="26"/>
      <c r="C83" s="51" t="str">
        <f t="shared" si="1"/>
        <v/>
      </c>
      <c r="D83" s="52" t="str">
        <f>IF(C83&lt;&gt;"",CONCATENATE(C83,"-",COUNTIF($C$4:C83,C83),""),"")</f>
        <v/>
      </c>
      <c r="E83" s="27"/>
      <c r="F83" s="27"/>
      <c r="G83" s="36"/>
      <c r="H83" s="36"/>
      <c r="I83" s="36"/>
      <c r="J83" s="36"/>
      <c r="K83" s="28"/>
    </row>
    <row r="84" spans="1:11" ht="293.25" customHeight="1" x14ac:dyDescent="0.25">
      <c r="A84" s="25"/>
      <c r="B84" s="26"/>
      <c r="C84" s="51" t="str">
        <f t="shared" si="1"/>
        <v/>
      </c>
      <c r="D84" s="52" t="str">
        <f>IF(C84&lt;&gt;"",CONCATENATE(C84,"-",COUNTIF($C$4:C84,C84),""),"")</f>
        <v/>
      </c>
      <c r="E84" s="27"/>
      <c r="F84" s="27"/>
      <c r="G84" s="36"/>
      <c r="H84" s="36"/>
      <c r="I84" s="36"/>
      <c r="J84" s="36"/>
      <c r="K84" s="28"/>
    </row>
    <row r="85" spans="1:11" ht="293.25" customHeight="1" x14ac:dyDescent="0.25">
      <c r="A85" s="25"/>
      <c r="B85" s="26"/>
      <c r="C85" s="51" t="str">
        <f t="shared" si="1"/>
        <v/>
      </c>
      <c r="D85" s="52" t="str">
        <f>IF(C85&lt;&gt;"",CONCATENATE(C85,"-",COUNTIF($C$4:C85,C85),""),"")</f>
        <v/>
      </c>
      <c r="E85" s="27"/>
      <c r="F85" s="27"/>
      <c r="G85" s="36"/>
      <c r="H85" s="36"/>
      <c r="I85" s="36"/>
      <c r="J85" s="36"/>
      <c r="K85" s="28"/>
    </row>
    <row r="86" spans="1:11" ht="293.25" customHeight="1" x14ac:dyDescent="0.25">
      <c r="A86" s="25"/>
      <c r="B86" s="26"/>
      <c r="C86" s="51" t="str">
        <f t="shared" si="1"/>
        <v/>
      </c>
      <c r="D86" s="52" t="str">
        <f>IF(C86&lt;&gt;"",CONCATENATE(C86,"-",COUNTIF($C$4:C86,C86),""),"")</f>
        <v/>
      </c>
      <c r="E86" s="27"/>
      <c r="F86" s="27"/>
      <c r="G86" s="36"/>
      <c r="H86" s="36"/>
      <c r="I86" s="36"/>
      <c r="J86" s="36"/>
      <c r="K86" s="28"/>
    </row>
    <row r="87" spans="1:11" ht="293.25" customHeight="1" x14ac:dyDescent="0.25">
      <c r="A87" s="25"/>
      <c r="B87" s="26"/>
      <c r="C87" s="51" t="str">
        <f t="shared" si="1"/>
        <v/>
      </c>
      <c r="D87" s="52" t="str">
        <f>IF(C87&lt;&gt;"",CONCATENATE(C87,"-",COUNTIF($C$4:C87,C87),""),"")</f>
        <v/>
      </c>
      <c r="E87" s="27"/>
      <c r="F87" s="27"/>
      <c r="G87" s="36"/>
      <c r="H87" s="36"/>
      <c r="I87" s="36"/>
      <c r="J87" s="36"/>
      <c r="K87" s="28"/>
    </row>
    <row r="88" spans="1:11" ht="293.25" customHeight="1" x14ac:dyDescent="0.25">
      <c r="A88" s="25"/>
      <c r="B88" s="26"/>
      <c r="C88" s="51" t="str">
        <f t="shared" si="1"/>
        <v/>
      </c>
      <c r="D88" s="52" t="str">
        <f>IF(C88&lt;&gt;"",CONCATENATE(C88,"-",COUNTIF($C$4:C88,C88),""),"")</f>
        <v/>
      </c>
      <c r="E88" s="27"/>
      <c r="F88" s="27"/>
      <c r="G88" s="36"/>
      <c r="H88" s="36"/>
      <c r="I88" s="36"/>
      <c r="J88" s="36"/>
      <c r="K88" s="28"/>
    </row>
    <row r="89" spans="1:11" ht="293.25" customHeight="1" x14ac:dyDescent="0.25">
      <c r="A89" s="25"/>
      <c r="B89" s="26"/>
      <c r="C89" s="51" t="str">
        <f t="shared" si="1"/>
        <v/>
      </c>
      <c r="D89" s="52" t="str">
        <f>IF(C89&lt;&gt;"",CONCATENATE(C89,"-",COUNTIF($C$4:C89,C89),""),"")</f>
        <v/>
      </c>
      <c r="E89" s="27"/>
      <c r="F89" s="27"/>
      <c r="G89" s="36"/>
      <c r="H89" s="36"/>
      <c r="I89" s="36"/>
      <c r="J89" s="36"/>
      <c r="K89" s="28"/>
    </row>
    <row r="90" spans="1:11" ht="293.25" customHeight="1" x14ac:dyDescent="0.25">
      <c r="A90" s="25"/>
      <c r="B90" s="26"/>
      <c r="C90" s="51" t="str">
        <f t="shared" si="1"/>
        <v/>
      </c>
      <c r="D90" s="52" t="str">
        <f>IF(C90&lt;&gt;"",CONCATENATE(C90,"-",COUNTIF($C$4:C90,C90),""),"")</f>
        <v/>
      </c>
      <c r="E90" s="27"/>
      <c r="F90" s="27"/>
      <c r="G90" s="36"/>
      <c r="H90" s="36"/>
      <c r="I90" s="36"/>
      <c r="J90" s="36"/>
      <c r="K90" s="28"/>
    </row>
    <row r="91" spans="1:11" ht="293.25" customHeight="1" x14ac:dyDescent="0.25">
      <c r="A91" s="25"/>
      <c r="B91" s="26"/>
      <c r="C91" s="51" t="str">
        <f t="shared" si="1"/>
        <v/>
      </c>
      <c r="D91" s="52" t="str">
        <f>IF(C91&lt;&gt;"",CONCATENATE(C91,"-",COUNTIF($C$4:C91,C91),""),"")</f>
        <v/>
      </c>
      <c r="E91" s="27"/>
      <c r="F91" s="27"/>
      <c r="G91" s="36"/>
      <c r="H91" s="36"/>
      <c r="I91" s="36"/>
      <c r="J91" s="36"/>
      <c r="K91" s="28"/>
    </row>
    <row r="92" spans="1:11" ht="293.25" customHeight="1" x14ac:dyDescent="0.25">
      <c r="A92" s="25"/>
      <c r="B92" s="26"/>
      <c r="C92" s="51" t="str">
        <f t="shared" si="1"/>
        <v/>
      </c>
      <c r="D92" s="52" t="str">
        <f>IF(C92&lt;&gt;"",CONCATENATE(C92,"-",COUNTIF($C$4:C92,C92),""),"")</f>
        <v/>
      </c>
      <c r="E92" s="27"/>
      <c r="F92" s="27"/>
      <c r="G92" s="36"/>
      <c r="H92" s="36"/>
      <c r="I92" s="36"/>
      <c r="J92" s="36"/>
      <c r="K92" s="28"/>
    </row>
    <row r="93" spans="1:11" ht="293.25" customHeight="1" x14ac:dyDescent="0.25">
      <c r="A93" s="25"/>
      <c r="B93" s="26"/>
      <c r="C93" s="51" t="str">
        <f t="shared" si="1"/>
        <v/>
      </c>
      <c r="D93" s="52" t="str">
        <f>IF(C93&lt;&gt;"",CONCATENATE(C93,"-",COUNTIF($C$4:C93,C93),""),"")</f>
        <v/>
      </c>
      <c r="E93" s="27"/>
      <c r="F93" s="27"/>
      <c r="G93" s="36"/>
      <c r="H93" s="36"/>
      <c r="I93" s="36"/>
      <c r="J93" s="36"/>
      <c r="K93" s="28"/>
    </row>
    <row r="94" spans="1:11" ht="293.25" customHeight="1" x14ac:dyDescent="0.25">
      <c r="A94" s="25"/>
      <c r="B94" s="26"/>
      <c r="C94" s="51" t="str">
        <f t="shared" si="1"/>
        <v/>
      </c>
      <c r="D94" s="52" t="str">
        <f>IF(C94&lt;&gt;"",CONCATENATE(C94,"-",COUNTIF($C$4:C94,C94),""),"")</f>
        <v/>
      </c>
      <c r="E94" s="27"/>
      <c r="F94" s="27"/>
      <c r="G94" s="36"/>
      <c r="H94" s="36"/>
      <c r="I94" s="36"/>
      <c r="J94" s="36"/>
      <c r="K94" s="28"/>
    </row>
    <row r="95" spans="1:11" ht="293.25" customHeight="1" x14ac:dyDescent="0.25">
      <c r="A95" s="25"/>
      <c r="B95" s="26"/>
      <c r="C95" s="51" t="str">
        <f t="shared" si="1"/>
        <v/>
      </c>
      <c r="D95" s="52" t="str">
        <f>IF(C95&lt;&gt;"",CONCATENATE(C95,"-",COUNTIF($C$4:C95,C95),""),"")</f>
        <v/>
      </c>
      <c r="E95" s="27"/>
      <c r="F95" s="27"/>
      <c r="G95" s="36"/>
      <c r="H95" s="36"/>
      <c r="I95" s="36"/>
      <c r="J95" s="36"/>
      <c r="K95" s="28"/>
    </row>
    <row r="96" spans="1:11" ht="293.25" customHeight="1" x14ac:dyDescent="0.25">
      <c r="A96" s="25"/>
      <c r="B96" s="26"/>
      <c r="C96" s="51" t="str">
        <f t="shared" si="1"/>
        <v/>
      </c>
      <c r="D96" s="52" t="str">
        <f>IF(C96&lt;&gt;"",CONCATENATE(C96,"-",COUNTIF($C$4:C96,C96),""),"")</f>
        <v/>
      </c>
      <c r="E96" s="27"/>
      <c r="F96" s="27"/>
      <c r="G96" s="36"/>
      <c r="H96" s="36"/>
      <c r="I96" s="36"/>
      <c r="J96" s="36"/>
      <c r="K96" s="28"/>
    </row>
    <row r="97" spans="1:11" ht="293.25" customHeight="1" x14ac:dyDescent="0.25">
      <c r="A97" s="25"/>
      <c r="B97" s="26"/>
      <c r="C97" s="51" t="str">
        <f t="shared" si="1"/>
        <v/>
      </c>
      <c r="D97" s="52" t="str">
        <f>IF(C97&lt;&gt;"",CONCATENATE(C97,"-",COUNTIF($C$4:C97,C97),""),"")</f>
        <v/>
      </c>
      <c r="E97" s="27"/>
      <c r="F97" s="27"/>
      <c r="G97" s="36"/>
      <c r="H97" s="36"/>
      <c r="I97" s="36"/>
      <c r="J97" s="36"/>
      <c r="K97" s="28"/>
    </row>
    <row r="98" spans="1:11" ht="293.25" customHeight="1" x14ac:dyDescent="0.25">
      <c r="A98" s="25"/>
      <c r="B98" s="26"/>
      <c r="C98" s="51" t="str">
        <f t="shared" si="1"/>
        <v/>
      </c>
      <c r="D98" s="52" t="str">
        <f>IF(C98&lt;&gt;"",CONCATENATE(C98,"-",COUNTIF($C$4:C98,C98),""),"")</f>
        <v/>
      </c>
      <c r="E98" s="27"/>
      <c r="F98" s="27"/>
      <c r="G98" s="36"/>
      <c r="H98" s="36"/>
      <c r="I98" s="36"/>
      <c r="J98" s="36"/>
      <c r="K98" s="28"/>
    </row>
    <row r="99" spans="1:11" ht="293.25" customHeight="1" x14ac:dyDescent="0.25">
      <c r="A99" s="25"/>
      <c r="B99" s="26"/>
      <c r="C99" s="51" t="str">
        <f t="shared" si="1"/>
        <v/>
      </c>
      <c r="D99" s="52" t="str">
        <f>IF(C99&lt;&gt;"",CONCATENATE(C99,"-",COUNTIF($C$4:C99,C99),""),"")</f>
        <v/>
      </c>
      <c r="E99" s="27"/>
      <c r="F99" s="27"/>
      <c r="G99" s="36"/>
      <c r="H99" s="36"/>
      <c r="I99" s="36"/>
      <c r="J99" s="36"/>
      <c r="K99" s="28"/>
    </row>
    <row r="100" spans="1:11" ht="293.25" customHeight="1" x14ac:dyDescent="0.25">
      <c r="A100" s="25"/>
      <c r="B100" s="26"/>
      <c r="C100" s="51" t="str">
        <f t="shared" si="1"/>
        <v/>
      </c>
      <c r="D100" s="52" t="str">
        <f>IF(C100&lt;&gt;"",CONCATENATE(C100,"-",COUNTIF($C$4:C100,C100),""),"")</f>
        <v/>
      </c>
      <c r="E100" s="27"/>
      <c r="F100" s="27"/>
      <c r="G100" s="36"/>
      <c r="H100" s="36"/>
      <c r="I100" s="36"/>
      <c r="J100" s="36"/>
      <c r="K100" s="28"/>
    </row>
    <row r="101" spans="1:11" ht="293.25" customHeight="1" x14ac:dyDescent="0.25">
      <c r="A101" s="25"/>
      <c r="B101" s="26"/>
      <c r="C101" s="51" t="str">
        <f t="shared" si="1"/>
        <v/>
      </c>
      <c r="D101" s="52" t="str">
        <f>IF(C101&lt;&gt;"",CONCATENATE(C101,"-",COUNTIF($C$4:C101,C101),""),"")</f>
        <v/>
      </c>
      <c r="E101" s="27"/>
      <c r="F101" s="27"/>
      <c r="G101" s="36"/>
      <c r="H101" s="36"/>
      <c r="I101" s="36"/>
      <c r="J101" s="36"/>
      <c r="K101" s="28"/>
    </row>
    <row r="102" spans="1:11" ht="293.25" customHeight="1" x14ac:dyDescent="0.25">
      <c r="A102" s="25"/>
      <c r="B102" s="26"/>
      <c r="C102" s="51" t="str">
        <f t="shared" si="1"/>
        <v/>
      </c>
      <c r="D102" s="52" t="str">
        <f>IF(C102&lt;&gt;"",CONCATENATE(C102,"-",COUNTIF($C$4:C102,C102),""),"")</f>
        <v/>
      </c>
      <c r="E102" s="27"/>
      <c r="F102" s="27"/>
      <c r="G102" s="36"/>
      <c r="H102" s="36"/>
      <c r="I102" s="36"/>
      <c r="J102" s="36"/>
      <c r="K102" s="28"/>
    </row>
    <row r="103" spans="1:11" ht="293.25" customHeight="1" x14ac:dyDescent="0.25">
      <c r="A103" s="25"/>
      <c r="B103" s="26"/>
      <c r="C103" s="51" t="str">
        <f t="shared" si="1"/>
        <v/>
      </c>
      <c r="D103" s="52" t="str">
        <f>IF(C103&lt;&gt;"",CONCATENATE(C103,"-",COUNTIF($C$4:C103,C103),""),"")</f>
        <v/>
      </c>
      <c r="E103" s="27"/>
      <c r="F103" s="27"/>
      <c r="G103" s="36"/>
      <c r="H103" s="36"/>
      <c r="I103" s="36"/>
      <c r="J103" s="36"/>
      <c r="K103" s="28"/>
    </row>
    <row r="104" spans="1:11" ht="293.25" customHeight="1" x14ac:dyDescent="0.25">
      <c r="A104" s="25"/>
      <c r="B104" s="26"/>
      <c r="C104" s="51" t="str">
        <f t="shared" si="1"/>
        <v/>
      </c>
      <c r="D104" s="52" t="str">
        <f>IF(C104&lt;&gt;"",CONCATENATE(C104,"-",COUNTIF($C$4:C104,C104),""),"")</f>
        <v/>
      </c>
      <c r="E104" s="27"/>
      <c r="F104" s="27"/>
      <c r="G104" s="36"/>
      <c r="H104" s="36"/>
      <c r="I104" s="36"/>
      <c r="J104" s="36"/>
      <c r="K104" s="28"/>
    </row>
    <row r="105" spans="1:11" ht="293.25" customHeight="1" x14ac:dyDescent="0.25">
      <c r="A105" s="25"/>
      <c r="B105" s="26"/>
      <c r="C105" s="51" t="str">
        <f t="shared" ref="C105:C109" si="2">IF(A105&lt;&gt;"",CONCATENATE(A105,"-",B105),"")</f>
        <v/>
      </c>
      <c r="D105" s="52" t="str">
        <f>IF(C105&lt;&gt;"",CONCATENATE(C105,"-",COUNTIF($C$4:C105,C105),""),"")</f>
        <v/>
      </c>
      <c r="E105" s="27"/>
      <c r="F105" s="27"/>
      <c r="G105" s="36"/>
      <c r="H105" s="36"/>
      <c r="I105" s="36"/>
      <c r="J105" s="36"/>
      <c r="K105" s="28"/>
    </row>
    <row r="106" spans="1:11" ht="293.25" customHeight="1" x14ac:dyDescent="0.25">
      <c r="A106" s="25"/>
      <c r="B106" s="26"/>
      <c r="C106" s="51" t="str">
        <f t="shared" si="2"/>
        <v/>
      </c>
      <c r="D106" s="52" t="str">
        <f>IF(C106&lt;&gt;"",CONCATENATE(C106,"-",COUNTIF($C$4:C106,C106),""),"")</f>
        <v/>
      </c>
      <c r="E106" s="27"/>
      <c r="F106" s="27"/>
      <c r="G106" s="36"/>
      <c r="H106" s="36"/>
      <c r="I106" s="36"/>
      <c r="J106" s="36"/>
      <c r="K106" s="28"/>
    </row>
    <row r="107" spans="1:11" ht="293.25" customHeight="1" x14ac:dyDescent="0.25">
      <c r="A107" s="25"/>
      <c r="B107" s="26"/>
      <c r="C107" s="51" t="str">
        <f t="shared" si="2"/>
        <v/>
      </c>
      <c r="D107" s="52" t="str">
        <f>IF(C107&lt;&gt;"",CONCATENATE(C107,"-",COUNTIF($C$4:C107,C107),""),"")</f>
        <v/>
      </c>
      <c r="E107" s="27"/>
      <c r="F107" s="27"/>
      <c r="G107" s="36"/>
      <c r="H107" s="36"/>
      <c r="I107" s="36"/>
      <c r="J107" s="36"/>
      <c r="K107" s="28"/>
    </row>
    <row r="108" spans="1:11" ht="293.25" customHeight="1" x14ac:dyDescent="0.25">
      <c r="A108" s="25"/>
      <c r="B108" s="26"/>
      <c r="C108" s="51" t="str">
        <f t="shared" si="2"/>
        <v/>
      </c>
      <c r="D108" s="52" t="str">
        <f>IF(C108&lt;&gt;"",CONCATENATE(C108,"-",COUNTIF($C$4:C108,C108),""),"")</f>
        <v/>
      </c>
      <c r="E108" s="27"/>
      <c r="F108" s="27"/>
      <c r="G108" s="36"/>
      <c r="H108" s="36"/>
      <c r="I108" s="36"/>
      <c r="J108" s="36"/>
      <c r="K108" s="28"/>
    </row>
    <row r="109" spans="1:11" ht="293.25" customHeight="1" x14ac:dyDescent="0.25">
      <c r="A109" s="25"/>
      <c r="B109" s="26"/>
      <c r="C109" s="51" t="str">
        <f t="shared" si="2"/>
        <v/>
      </c>
      <c r="D109" s="52" t="str">
        <f>IF(C109&lt;&gt;"",CONCATENATE(C109,"-",COUNTIF($C$4:C109,C109),""),"")</f>
        <v/>
      </c>
      <c r="E109" s="27"/>
      <c r="F109" s="27"/>
      <c r="G109" s="36"/>
      <c r="H109" s="36"/>
      <c r="I109" s="36"/>
      <c r="J109" s="36"/>
      <c r="K109" s="28"/>
    </row>
    <row r="110" spans="1:11" ht="293.25" customHeight="1" x14ac:dyDescent="0.25">
      <c r="A110" s="25"/>
      <c r="B110" s="26"/>
      <c r="C110" s="51" t="str">
        <f t="shared" ref="C110:C154" si="3">IF(A110&lt;&gt;"",CONCATENATE(A110,"-",B110),"")</f>
        <v/>
      </c>
      <c r="D110" s="52" t="str">
        <f>IF(C110&lt;&gt;"",CONCATENATE(C110,"-",COUNTIF($C$4:C110,C110),""),"")</f>
        <v/>
      </c>
      <c r="E110" s="27"/>
      <c r="F110" s="27"/>
      <c r="G110" s="36"/>
      <c r="H110" s="36"/>
      <c r="I110" s="36"/>
      <c r="J110" s="36"/>
      <c r="K110" s="28"/>
    </row>
    <row r="111" spans="1:11" ht="293.25" customHeight="1" x14ac:dyDescent="0.25">
      <c r="A111" s="25"/>
      <c r="B111" s="26"/>
      <c r="C111" s="51" t="str">
        <f t="shared" si="3"/>
        <v/>
      </c>
      <c r="D111" s="52" t="str">
        <f>IF(C111&lt;&gt;"",CONCATENATE(C111,"-",COUNTIF($C$4:C111,C111),""),"")</f>
        <v/>
      </c>
      <c r="E111" s="27"/>
      <c r="F111" s="27"/>
      <c r="G111" s="36"/>
      <c r="H111" s="36"/>
      <c r="I111" s="36"/>
      <c r="J111" s="36"/>
      <c r="K111" s="28"/>
    </row>
    <row r="112" spans="1:11" ht="293.25" customHeight="1" x14ac:dyDescent="0.25">
      <c r="A112" s="25"/>
      <c r="B112" s="26"/>
      <c r="C112" s="51" t="str">
        <f t="shared" si="3"/>
        <v/>
      </c>
      <c r="D112" s="52" t="str">
        <f>IF(C112&lt;&gt;"",CONCATENATE(C112,"-",COUNTIF($C$4:C112,C112),""),"")</f>
        <v/>
      </c>
      <c r="E112" s="27"/>
      <c r="F112" s="27"/>
      <c r="G112" s="36"/>
      <c r="H112" s="36"/>
      <c r="I112" s="36"/>
      <c r="J112" s="36"/>
      <c r="K112" s="28"/>
    </row>
    <row r="113" spans="1:11" ht="293.25" customHeight="1" x14ac:dyDescent="0.25">
      <c r="A113" s="25"/>
      <c r="B113" s="26"/>
      <c r="C113" s="51" t="str">
        <f t="shared" si="3"/>
        <v/>
      </c>
      <c r="D113" s="52" t="str">
        <f>IF(C113&lt;&gt;"",CONCATENATE(C113,"-",COUNTIF($C$4:C113,C113),""),"")</f>
        <v/>
      </c>
      <c r="E113" s="27"/>
      <c r="F113" s="27"/>
      <c r="G113" s="36"/>
      <c r="H113" s="36"/>
      <c r="I113" s="36"/>
      <c r="J113" s="36"/>
      <c r="K113" s="28"/>
    </row>
    <row r="114" spans="1:11" ht="293.25" customHeight="1" x14ac:dyDescent="0.25">
      <c r="A114" s="25"/>
      <c r="B114" s="26"/>
      <c r="C114" s="51" t="str">
        <f t="shared" si="3"/>
        <v/>
      </c>
      <c r="D114" s="52" t="str">
        <f>IF(C114&lt;&gt;"",CONCATENATE(C114,"-",COUNTIF($C$4:C114,C114),""),"")</f>
        <v/>
      </c>
      <c r="E114" s="27"/>
      <c r="F114" s="27"/>
      <c r="G114" s="36"/>
      <c r="H114" s="36"/>
      <c r="I114" s="36"/>
      <c r="J114" s="36"/>
      <c r="K114" s="28"/>
    </row>
    <row r="115" spans="1:11" ht="293.25" customHeight="1" x14ac:dyDescent="0.25">
      <c r="A115" s="25"/>
      <c r="B115" s="26"/>
      <c r="C115" s="51" t="str">
        <f t="shared" si="3"/>
        <v/>
      </c>
      <c r="D115" s="52" t="str">
        <f>IF(C115&lt;&gt;"",CONCATENATE(C115,"-",COUNTIF($C$4:C115,C115),""),"")</f>
        <v/>
      </c>
      <c r="E115" s="27"/>
      <c r="F115" s="27"/>
      <c r="G115" s="36"/>
      <c r="H115" s="36"/>
      <c r="I115" s="36"/>
      <c r="J115" s="36"/>
      <c r="K115" s="28"/>
    </row>
    <row r="116" spans="1:11" ht="293.25" customHeight="1" x14ac:dyDescent="0.25">
      <c r="A116" s="25"/>
      <c r="B116" s="26"/>
      <c r="C116" s="51" t="str">
        <f t="shared" si="3"/>
        <v/>
      </c>
      <c r="D116" s="52" t="str">
        <f>IF(C116&lt;&gt;"",CONCATENATE(C116,"-",COUNTIF($C$4:C116,C116),""),"")</f>
        <v/>
      </c>
      <c r="E116" s="27"/>
      <c r="F116" s="27"/>
      <c r="G116" s="36"/>
      <c r="H116" s="36"/>
      <c r="I116" s="36"/>
      <c r="J116" s="36"/>
      <c r="K116" s="28"/>
    </row>
    <row r="117" spans="1:11" ht="293.25" customHeight="1" x14ac:dyDescent="0.25">
      <c r="A117" s="25"/>
      <c r="B117" s="26"/>
      <c r="C117" s="51" t="str">
        <f t="shared" si="3"/>
        <v/>
      </c>
      <c r="D117" s="52" t="str">
        <f>IF(C117&lt;&gt;"",CONCATENATE(C117,"-",COUNTIF($C$4:C117,C117),""),"")</f>
        <v/>
      </c>
      <c r="E117" s="27"/>
      <c r="F117" s="27"/>
      <c r="G117" s="36"/>
      <c r="H117" s="36"/>
      <c r="I117" s="36"/>
      <c r="J117" s="36"/>
      <c r="K117" s="28"/>
    </row>
    <row r="118" spans="1:11" ht="293.25" customHeight="1" x14ac:dyDescent="0.25">
      <c r="A118" s="25"/>
      <c r="B118" s="26"/>
      <c r="C118" s="51" t="str">
        <f t="shared" si="3"/>
        <v/>
      </c>
      <c r="D118" s="52" t="str">
        <f>IF(C118&lt;&gt;"",CONCATENATE(C118,"-",COUNTIF($C$4:C118,C118),""),"")</f>
        <v/>
      </c>
      <c r="E118" s="27"/>
      <c r="F118" s="27"/>
      <c r="G118" s="36"/>
      <c r="H118" s="36"/>
      <c r="I118" s="36"/>
      <c r="J118" s="36"/>
      <c r="K118" s="28"/>
    </row>
    <row r="119" spans="1:11" ht="293.25" customHeight="1" x14ac:dyDescent="0.25">
      <c r="A119" s="25"/>
      <c r="B119" s="26"/>
      <c r="C119" s="51" t="str">
        <f t="shared" si="3"/>
        <v/>
      </c>
      <c r="D119" s="52" t="str">
        <f>IF(C119&lt;&gt;"",CONCATENATE(C119,"-",COUNTIF($C$4:C119,C119),""),"")</f>
        <v/>
      </c>
      <c r="E119" s="27"/>
      <c r="F119" s="27"/>
      <c r="G119" s="36"/>
      <c r="H119" s="36"/>
      <c r="I119" s="36"/>
      <c r="J119" s="36"/>
      <c r="K119" s="28"/>
    </row>
    <row r="120" spans="1:11" ht="293.25" customHeight="1" x14ac:dyDescent="0.25">
      <c r="A120" s="25"/>
      <c r="B120" s="26"/>
      <c r="C120" s="51" t="str">
        <f t="shared" si="3"/>
        <v/>
      </c>
      <c r="D120" s="52" t="str">
        <f>IF(C120&lt;&gt;"",CONCATENATE(C120,"-",COUNTIF($C$4:C120,C120),""),"")</f>
        <v/>
      </c>
      <c r="E120" s="27"/>
      <c r="F120" s="27"/>
      <c r="G120" s="36"/>
      <c r="H120" s="36"/>
      <c r="I120" s="36"/>
      <c r="J120" s="36"/>
      <c r="K120" s="28"/>
    </row>
    <row r="121" spans="1:11" ht="293.25" customHeight="1" x14ac:dyDescent="0.25">
      <c r="A121" s="25"/>
      <c r="B121" s="26"/>
      <c r="C121" s="51" t="str">
        <f t="shared" si="3"/>
        <v/>
      </c>
      <c r="D121" s="52" t="str">
        <f>IF(C121&lt;&gt;"",CONCATENATE(C121,"-",COUNTIF($C$4:C121,C121),""),"")</f>
        <v/>
      </c>
      <c r="E121" s="27"/>
      <c r="F121" s="27"/>
      <c r="G121" s="36"/>
      <c r="H121" s="36"/>
      <c r="I121" s="36"/>
      <c r="J121" s="36"/>
      <c r="K121" s="28"/>
    </row>
    <row r="122" spans="1:11" ht="293.25" customHeight="1" x14ac:dyDescent="0.25">
      <c r="A122" s="25"/>
      <c r="B122" s="26"/>
      <c r="C122" s="51" t="str">
        <f t="shared" si="3"/>
        <v/>
      </c>
      <c r="D122" s="52" t="str">
        <f>IF(C122&lt;&gt;"",CONCATENATE(C122,"-",COUNTIF($C$4:C122,C122),""),"")</f>
        <v/>
      </c>
      <c r="E122" s="27"/>
      <c r="F122" s="27"/>
      <c r="G122" s="36"/>
      <c r="H122" s="36"/>
      <c r="I122" s="36"/>
      <c r="J122" s="36"/>
      <c r="K122" s="28"/>
    </row>
    <row r="123" spans="1:11" ht="293.25" customHeight="1" x14ac:dyDescent="0.25">
      <c r="A123" s="25"/>
      <c r="B123" s="26"/>
      <c r="C123" s="51" t="str">
        <f t="shared" si="3"/>
        <v/>
      </c>
      <c r="D123" s="52" t="str">
        <f>IF(C123&lt;&gt;"",CONCATENATE(C123,"-",COUNTIF($C$4:C123,C123),""),"")</f>
        <v/>
      </c>
      <c r="E123" s="27"/>
      <c r="F123" s="27"/>
      <c r="G123" s="36"/>
      <c r="H123" s="36"/>
      <c r="I123" s="36"/>
      <c r="J123" s="36"/>
      <c r="K123" s="28"/>
    </row>
    <row r="124" spans="1:11" ht="293.25" customHeight="1" x14ac:dyDescent="0.25">
      <c r="A124" s="25"/>
      <c r="B124" s="26"/>
      <c r="C124" s="51" t="str">
        <f t="shared" si="3"/>
        <v/>
      </c>
      <c r="D124" s="52" t="str">
        <f>IF(C124&lt;&gt;"",CONCATENATE(C124,"-",COUNTIF($C$4:C124,C124),""),"")</f>
        <v/>
      </c>
      <c r="E124" s="27"/>
      <c r="F124" s="27"/>
      <c r="G124" s="36"/>
      <c r="H124" s="36"/>
      <c r="I124" s="36"/>
      <c r="J124" s="36"/>
      <c r="K124" s="28"/>
    </row>
    <row r="125" spans="1:11" ht="293.25" customHeight="1" x14ac:dyDescent="0.25">
      <c r="A125" s="25"/>
      <c r="B125" s="26"/>
      <c r="C125" s="51" t="str">
        <f t="shared" si="3"/>
        <v/>
      </c>
      <c r="D125" s="52" t="str">
        <f>IF(C125&lt;&gt;"",CONCATENATE(C125,"-",COUNTIF($C$4:C125,C125),""),"")</f>
        <v/>
      </c>
      <c r="E125" s="27"/>
      <c r="F125" s="27"/>
      <c r="G125" s="36"/>
      <c r="H125" s="36"/>
      <c r="I125" s="36"/>
      <c r="J125" s="36"/>
      <c r="K125" s="28"/>
    </row>
    <row r="126" spans="1:11" ht="293.25" customHeight="1" x14ac:dyDescent="0.25">
      <c r="A126" s="25"/>
      <c r="B126" s="26"/>
      <c r="C126" s="51" t="str">
        <f t="shared" si="3"/>
        <v/>
      </c>
      <c r="D126" s="52" t="str">
        <f>IF(C126&lt;&gt;"",CONCATENATE(C126,"-",COUNTIF($C$4:C126,C126),""),"")</f>
        <v/>
      </c>
      <c r="E126" s="27"/>
      <c r="F126" s="27"/>
      <c r="G126" s="36"/>
      <c r="H126" s="36"/>
      <c r="I126" s="36"/>
      <c r="J126" s="36"/>
      <c r="K126" s="28"/>
    </row>
    <row r="127" spans="1:11" ht="293.25" customHeight="1" x14ac:dyDescent="0.25">
      <c r="A127" s="25"/>
      <c r="B127" s="26"/>
      <c r="C127" s="51" t="str">
        <f t="shared" si="3"/>
        <v/>
      </c>
      <c r="D127" s="52" t="str">
        <f>IF(C127&lt;&gt;"",CONCATENATE(C127,"-",COUNTIF($C$4:C127,C127),""),"")</f>
        <v/>
      </c>
      <c r="E127" s="27"/>
      <c r="F127" s="27"/>
      <c r="G127" s="36"/>
      <c r="H127" s="36"/>
      <c r="I127" s="36"/>
      <c r="J127" s="36"/>
      <c r="K127" s="28"/>
    </row>
    <row r="128" spans="1:11" ht="293.25" customHeight="1" x14ac:dyDescent="0.25">
      <c r="A128" s="25"/>
      <c r="B128" s="26"/>
      <c r="C128" s="51" t="str">
        <f t="shared" si="3"/>
        <v/>
      </c>
      <c r="D128" s="52" t="str">
        <f>IF(C128&lt;&gt;"",CONCATENATE(C128,"-",COUNTIF($C$4:C128,C128),""),"")</f>
        <v/>
      </c>
      <c r="E128" s="27"/>
      <c r="F128" s="27"/>
      <c r="G128" s="36"/>
      <c r="H128" s="36"/>
      <c r="I128" s="36"/>
      <c r="J128" s="36"/>
      <c r="K128" s="28"/>
    </row>
    <row r="129" spans="1:11" ht="293.25" customHeight="1" x14ac:dyDescent="0.25">
      <c r="A129" s="25"/>
      <c r="B129" s="26"/>
      <c r="C129" s="51" t="str">
        <f t="shared" si="3"/>
        <v/>
      </c>
      <c r="D129" s="52" t="str">
        <f>IF(C129&lt;&gt;"",CONCATENATE(C129,"-",COUNTIF($C$4:C129,C129),""),"")</f>
        <v/>
      </c>
      <c r="E129" s="27"/>
      <c r="F129" s="27"/>
      <c r="G129" s="36"/>
      <c r="H129" s="36"/>
      <c r="I129" s="36"/>
      <c r="J129" s="36"/>
      <c r="K129" s="28"/>
    </row>
    <row r="130" spans="1:11" ht="293.25" customHeight="1" x14ac:dyDescent="0.25">
      <c r="A130" s="25"/>
      <c r="B130" s="26"/>
      <c r="C130" s="51" t="str">
        <f t="shared" si="3"/>
        <v/>
      </c>
      <c r="D130" s="52" t="str">
        <f>IF(C130&lt;&gt;"",CONCATENATE(C130,"-",COUNTIF($C$4:C130,C130),""),"")</f>
        <v/>
      </c>
      <c r="E130" s="27"/>
      <c r="F130" s="27"/>
      <c r="G130" s="36"/>
      <c r="H130" s="36"/>
      <c r="I130" s="36"/>
      <c r="J130" s="36"/>
      <c r="K130" s="28"/>
    </row>
    <row r="131" spans="1:11" ht="293.25" customHeight="1" x14ac:dyDescent="0.25">
      <c r="A131" s="25"/>
      <c r="B131" s="26"/>
      <c r="C131" s="51" t="str">
        <f t="shared" si="3"/>
        <v/>
      </c>
      <c r="D131" s="52" t="str">
        <f>IF(C131&lt;&gt;"",CONCATENATE(C131,"-",COUNTIF($C$4:C131,C131),""),"")</f>
        <v/>
      </c>
      <c r="E131" s="27"/>
      <c r="F131" s="27"/>
      <c r="G131" s="36"/>
      <c r="H131" s="36"/>
      <c r="I131" s="36"/>
      <c r="J131" s="36"/>
      <c r="K131" s="28"/>
    </row>
    <row r="132" spans="1:11" ht="293.25" customHeight="1" x14ac:dyDescent="0.25">
      <c r="A132" s="25"/>
      <c r="B132" s="26"/>
      <c r="C132" s="51" t="str">
        <f t="shared" si="3"/>
        <v/>
      </c>
      <c r="D132" s="52" t="str">
        <f>IF(C132&lt;&gt;"",CONCATENATE(C132,"-",COUNTIF($C$4:C132,C132),""),"")</f>
        <v/>
      </c>
      <c r="E132" s="27"/>
      <c r="F132" s="27"/>
      <c r="G132" s="36"/>
      <c r="H132" s="36"/>
      <c r="I132" s="36"/>
      <c r="J132" s="36"/>
      <c r="K132" s="28"/>
    </row>
    <row r="133" spans="1:11" ht="293.25" customHeight="1" x14ac:dyDescent="0.25">
      <c r="A133" s="25"/>
      <c r="B133" s="26"/>
      <c r="C133" s="51" t="str">
        <f t="shared" si="3"/>
        <v/>
      </c>
      <c r="D133" s="52" t="str">
        <f>IF(C133&lt;&gt;"",CONCATENATE(C133,"-",COUNTIF($C$4:C133,C133),""),"")</f>
        <v/>
      </c>
      <c r="E133" s="27"/>
      <c r="F133" s="27"/>
      <c r="G133" s="36"/>
      <c r="H133" s="36"/>
      <c r="I133" s="36"/>
      <c r="J133" s="36"/>
      <c r="K133" s="28"/>
    </row>
    <row r="134" spans="1:11" ht="293.25" customHeight="1" x14ac:dyDescent="0.25">
      <c r="A134" s="25"/>
      <c r="B134" s="26"/>
      <c r="C134" s="51" t="str">
        <f t="shared" si="3"/>
        <v/>
      </c>
      <c r="D134" s="52" t="str">
        <f>IF(C134&lt;&gt;"",CONCATENATE(C134,"-",COUNTIF($C$4:C134,C134),""),"")</f>
        <v/>
      </c>
      <c r="E134" s="27"/>
      <c r="F134" s="27"/>
      <c r="G134" s="36"/>
      <c r="H134" s="36"/>
      <c r="I134" s="36"/>
      <c r="J134" s="36"/>
      <c r="K134" s="28"/>
    </row>
    <row r="135" spans="1:11" ht="293.25" customHeight="1" x14ac:dyDescent="0.25">
      <c r="A135" s="25"/>
      <c r="B135" s="26"/>
      <c r="C135" s="51" t="str">
        <f t="shared" si="3"/>
        <v/>
      </c>
      <c r="D135" s="52" t="str">
        <f>IF(C135&lt;&gt;"",CONCATENATE(C135,"-",COUNTIF($C$4:C135,C135),""),"")</f>
        <v/>
      </c>
      <c r="E135" s="27"/>
      <c r="F135" s="27"/>
      <c r="G135" s="36"/>
      <c r="H135" s="36"/>
      <c r="I135" s="36"/>
      <c r="J135" s="36"/>
      <c r="K135" s="28"/>
    </row>
    <row r="136" spans="1:11" ht="293.25" customHeight="1" x14ac:dyDescent="0.25">
      <c r="A136" s="25"/>
      <c r="B136" s="26"/>
      <c r="C136" s="51" t="str">
        <f t="shared" si="3"/>
        <v/>
      </c>
      <c r="D136" s="52" t="str">
        <f>IF(C136&lt;&gt;"",CONCATENATE(C136,"-",COUNTIF($C$4:C136,C136),""),"")</f>
        <v/>
      </c>
      <c r="E136" s="27"/>
      <c r="F136" s="27"/>
      <c r="G136" s="36"/>
      <c r="H136" s="36"/>
      <c r="I136" s="36"/>
      <c r="J136" s="36"/>
      <c r="K136" s="28"/>
    </row>
    <row r="137" spans="1:11" ht="293.25" customHeight="1" x14ac:dyDescent="0.25">
      <c r="A137" s="25"/>
      <c r="B137" s="26"/>
      <c r="C137" s="51" t="str">
        <f t="shared" si="3"/>
        <v/>
      </c>
      <c r="D137" s="52" t="str">
        <f>IF(C137&lt;&gt;"",CONCATENATE(C137,"-",COUNTIF($C$4:C137,C137),""),"")</f>
        <v/>
      </c>
      <c r="E137" s="27"/>
      <c r="F137" s="27"/>
      <c r="G137" s="36"/>
      <c r="H137" s="36"/>
      <c r="I137" s="36"/>
      <c r="J137" s="36"/>
      <c r="K137" s="28"/>
    </row>
    <row r="138" spans="1:11" ht="293.25" customHeight="1" x14ac:dyDescent="0.25">
      <c r="A138" s="25"/>
      <c r="B138" s="26"/>
      <c r="C138" s="51" t="str">
        <f t="shared" si="3"/>
        <v/>
      </c>
      <c r="D138" s="52" t="str">
        <f>IF(C138&lt;&gt;"",CONCATENATE(C138,"-",COUNTIF($C$4:C138,C138),""),"")</f>
        <v/>
      </c>
      <c r="E138" s="27"/>
      <c r="F138" s="27"/>
      <c r="G138" s="36"/>
      <c r="H138" s="36"/>
      <c r="I138" s="36"/>
      <c r="J138" s="36"/>
      <c r="K138" s="28"/>
    </row>
    <row r="139" spans="1:11" ht="293.25" customHeight="1" x14ac:dyDescent="0.25">
      <c r="A139" s="25"/>
      <c r="B139" s="26"/>
      <c r="C139" s="51" t="str">
        <f t="shared" si="3"/>
        <v/>
      </c>
      <c r="D139" s="52" t="str">
        <f>IF(C139&lt;&gt;"",CONCATENATE(C139,"-",COUNTIF($C$4:C139,C139),""),"")</f>
        <v/>
      </c>
      <c r="E139" s="27"/>
      <c r="F139" s="27"/>
      <c r="G139" s="36"/>
      <c r="H139" s="36"/>
      <c r="I139" s="36"/>
      <c r="J139" s="36"/>
      <c r="K139" s="28"/>
    </row>
    <row r="140" spans="1:11" ht="293.25" customHeight="1" x14ac:dyDescent="0.25">
      <c r="A140" s="25"/>
      <c r="B140" s="26"/>
      <c r="C140" s="51" t="str">
        <f t="shared" si="3"/>
        <v/>
      </c>
      <c r="D140" s="52" t="str">
        <f>IF(C140&lt;&gt;"",CONCATENATE(C140,"-",COUNTIF($C$4:C140,C140),""),"")</f>
        <v/>
      </c>
      <c r="E140" s="27"/>
      <c r="F140" s="27"/>
      <c r="G140" s="36"/>
      <c r="H140" s="36"/>
      <c r="I140" s="36"/>
      <c r="J140" s="36"/>
      <c r="K140" s="28"/>
    </row>
    <row r="141" spans="1:11" ht="293.25" customHeight="1" x14ac:dyDescent="0.25">
      <c r="A141" s="25"/>
      <c r="B141" s="26"/>
      <c r="C141" s="51" t="str">
        <f t="shared" si="3"/>
        <v/>
      </c>
      <c r="D141" s="52" t="str">
        <f>IF(C141&lt;&gt;"",CONCATENATE(C141,"-",COUNTIF($C$4:C141,C141),""),"")</f>
        <v/>
      </c>
      <c r="E141" s="27"/>
      <c r="F141" s="27"/>
      <c r="G141" s="36"/>
      <c r="H141" s="36"/>
      <c r="I141" s="36"/>
      <c r="J141" s="36"/>
      <c r="K141" s="28"/>
    </row>
    <row r="142" spans="1:11" ht="293.25" customHeight="1" x14ac:dyDescent="0.25">
      <c r="A142" s="25"/>
      <c r="B142" s="26"/>
      <c r="C142" s="51" t="str">
        <f t="shared" si="3"/>
        <v/>
      </c>
      <c r="D142" s="52" t="str">
        <f>IF(C142&lt;&gt;"",CONCATENATE(C142,"-",COUNTIF($C$4:C142,C142),""),"")</f>
        <v/>
      </c>
      <c r="E142" s="27"/>
      <c r="F142" s="27"/>
      <c r="G142" s="36"/>
      <c r="H142" s="36"/>
      <c r="I142" s="36"/>
      <c r="J142" s="36"/>
      <c r="K142" s="28"/>
    </row>
    <row r="143" spans="1:11" ht="293.25" customHeight="1" x14ac:dyDescent="0.25">
      <c r="A143" s="25"/>
      <c r="B143" s="26"/>
      <c r="C143" s="51" t="str">
        <f t="shared" si="3"/>
        <v/>
      </c>
      <c r="D143" s="52" t="str">
        <f>IF(C143&lt;&gt;"",CONCATENATE(C143,"-",COUNTIF($C$4:C143,C143),""),"")</f>
        <v/>
      </c>
      <c r="E143" s="27"/>
      <c r="F143" s="27"/>
      <c r="G143" s="36"/>
      <c r="H143" s="36"/>
      <c r="I143" s="36"/>
      <c r="J143" s="36"/>
      <c r="K143" s="28"/>
    </row>
    <row r="144" spans="1:11" ht="293.25" customHeight="1" x14ac:dyDescent="0.25">
      <c r="A144" s="25"/>
      <c r="B144" s="26"/>
      <c r="C144" s="51" t="str">
        <f t="shared" si="3"/>
        <v/>
      </c>
      <c r="D144" s="52" t="str">
        <f>IF(C144&lt;&gt;"",CONCATENATE(C144,"-",COUNTIF($C$4:C144,C144),""),"")</f>
        <v/>
      </c>
      <c r="E144" s="27"/>
      <c r="F144" s="27"/>
      <c r="G144" s="36"/>
      <c r="H144" s="36"/>
      <c r="I144" s="36"/>
      <c r="J144" s="36"/>
      <c r="K144" s="28"/>
    </row>
    <row r="145" spans="1:11" ht="293.25" customHeight="1" x14ac:dyDescent="0.25">
      <c r="A145" s="25"/>
      <c r="B145" s="26"/>
      <c r="C145" s="51" t="str">
        <f t="shared" si="3"/>
        <v/>
      </c>
      <c r="D145" s="52" t="str">
        <f>IF(C145&lt;&gt;"",CONCATENATE(C145,"-",COUNTIF($C$4:C145,C145),""),"")</f>
        <v/>
      </c>
      <c r="E145" s="27"/>
      <c r="F145" s="27"/>
      <c r="G145" s="36"/>
      <c r="H145" s="36"/>
      <c r="I145" s="36"/>
      <c r="J145" s="36"/>
      <c r="K145" s="28"/>
    </row>
    <row r="146" spans="1:11" ht="293.25" customHeight="1" x14ac:dyDescent="0.25">
      <c r="A146" s="25"/>
      <c r="B146" s="26"/>
      <c r="C146" s="51" t="str">
        <f t="shared" si="3"/>
        <v/>
      </c>
      <c r="D146" s="52" t="str">
        <f>IF(C146&lt;&gt;"",CONCATENATE(C146,"-",COUNTIF($C$4:C146,C146),""),"")</f>
        <v/>
      </c>
      <c r="E146" s="27"/>
      <c r="F146" s="27"/>
      <c r="G146" s="36"/>
      <c r="H146" s="36"/>
      <c r="I146" s="36"/>
      <c r="J146" s="36"/>
      <c r="K146" s="28"/>
    </row>
    <row r="147" spans="1:11" ht="293.25" customHeight="1" x14ac:dyDescent="0.25">
      <c r="A147" s="25"/>
      <c r="B147" s="26"/>
      <c r="C147" s="51" t="str">
        <f t="shared" si="3"/>
        <v/>
      </c>
      <c r="D147" s="52" t="str">
        <f>IF(C147&lt;&gt;"",CONCATENATE(C147,"-",COUNTIF($C$4:C147,C147),""),"")</f>
        <v/>
      </c>
      <c r="E147" s="27"/>
      <c r="F147" s="27"/>
      <c r="G147" s="36"/>
      <c r="H147" s="36"/>
      <c r="I147" s="36"/>
      <c r="J147" s="36"/>
      <c r="K147" s="28"/>
    </row>
    <row r="148" spans="1:11" ht="293.25" customHeight="1" x14ac:dyDescent="0.25">
      <c r="A148" s="25"/>
      <c r="B148" s="26"/>
      <c r="C148" s="51" t="str">
        <f t="shared" si="3"/>
        <v/>
      </c>
      <c r="D148" s="52" t="str">
        <f>IF(C148&lt;&gt;"",CONCATENATE(C148,"-",COUNTIF($C$4:C148,C148),""),"")</f>
        <v/>
      </c>
      <c r="E148" s="27"/>
      <c r="F148" s="27"/>
      <c r="G148" s="36"/>
      <c r="H148" s="36"/>
      <c r="I148" s="36"/>
      <c r="J148" s="36"/>
      <c r="K148" s="28"/>
    </row>
    <row r="149" spans="1:11" ht="293.25" customHeight="1" x14ac:dyDescent="0.25">
      <c r="A149" s="25"/>
      <c r="B149" s="26"/>
      <c r="C149" s="51" t="str">
        <f t="shared" si="3"/>
        <v/>
      </c>
      <c r="D149" s="52" t="str">
        <f>IF(C149&lt;&gt;"",CONCATENATE(C149,"-",COUNTIF($C$4:C149,C149),""),"")</f>
        <v/>
      </c>
      <c r="E149" s="27"/>
      <c r="F149" s="27"/>
      <c r="G149" s="36"/>
      <c r="H149" s="36"/>
      <c r="I149" s="36"/>
      <c r="J149" s="36"/>
      <c r="K149" s="28"/>
    </row>
    <row r="150" spans="1:11" ht="293.25" customHeight="1" x14ac:dyDescent="0.25">
      <c r="A150" s="25"/>
      <c r="B150" s="26"/>
      <c r="C150" s="51" t="str">
        <f t="shared" si="3"/>
        <v/>
      </c>
      <c r="D150" s="52" t="str">
        <f>IF(C150&lt;&gt;"",CONCATENATE(C150,"-",COUNTIF($C$4:C150,C150),""),"")</f>
        <v/>
      </c>
      <c r="E150" s="27"/>
      <c r="F150" s="27"/>
      <c r="G150" s="36"/>
      <c r="H150" s="36"/>
      <c r="I150" s="36"/>
      <c r="J150" s="36"/>
      <c r="K150" s="28"/>
    </row>
    <row r="151" spans="1:11" ht="293.25" customHeight="1" x14ac:dyDescent="0.25">
      <c r="A151" s="25"/>
      <c r="B151" s="26"/>
      <c r="C151" s="51" t="str">
        <f t="shared" si="3"/>
        <v/>
      </c>
      <c r="D151" s="52" t="str">
        <f>IF(C151&lt;&gt;"",CONCATENATE(C151,"-",COUNTIF($C$4:C151,C151),""),"")</f>
        <v/>
      </c>
      <c r="E151" s="27"/>
      <c r="F151" s="27"/>
      <c r="G151" s="36"/>
      <c r="H151" s="36"/>
      <c r="I151" s="36"/>
      <c r="J151" s="36"/>
      <c r="K151" s="28"/>
    </row>
    <row r="152" spans="1:11" ht="293.25" customHeight="1" x14ac:dyDescent="0.25">
      <c r="A152" s="25"/>
      <c r="B152" s="26"/>
      <c r="C152" s="51" t="str">
        <f t="shared" si="3"/>
        <v/>
      </c>
      <c r="D152" s="52" t="str">
        <f>IF(C152&lt;&gt;"",CONCATENATE(C152,"-",COUNTIF($C$4:C152,C152),""),"")</f>
        <v/>
      </c>
      <c r="E152" s="27"/>
      <c r="F152" s="27"/>
      <c r="G152" s="36"/>
      <c r="H152" s="36"/>
      <c r="I152" s="36"/>
      <c r="J152" s="36"/>
      <c r="K152" s="28"/>
    </row>
    <row r="153" spans="1:11" ht="293.25" customHeight="1" x14ac:dyDescent="0.25">
      <c r="A153" s="25"/>
      <c r="B153" s="26"/>
      <c r="C153" s="51" t="str">
        <f t="shared" si="3"/>
        <v/>
      </c>
      <c r="D153" s="52" t="str">
        <f>IF(C153&lt;&gt;"",CONCATENATE(C153,"-",COUNTIF($C$4:C153,C153),""),"")</f>
        <v/>
      </c>
      <c r="E153" s="27"/>
      <c r="F153" s="27"/>
      <c r="G153" s="36"/>
      <c r="H153" s="36"/>
      <c r="I153" s="36"/>
      <c r="J153" s="36"/>
      <c r="K153" s="28"/>
    </row>
    <row r="154" spans="1:11" ht="293.25" customHeight="1" x14ac:dyDescent="0.25">
      <c r="A154" s="48"/>
      <c r="B154" s="49"/>
      <c r="C154" s="51" t="str">
        <f t="shared" si="3"/>
        <v/>
      </c>
      <c r="D154" s="52" t="str">
        <f>IF(C154&lt;&gt;"",CONCATENATE(C154,"-",COUNTIF($C$4:C154,C154),""),"")</f>
        <v/>
      </c>
      <c r="E154" s="35"/>
      <c r="F154" s="35"/>
      <c r="G154" s="35"/>
      <c r="H154" s="35"/>
      <c r="I154" s="35"/>
      <c r="J154" s="35"/>
      <c r="K154" s="50"/>
    </row>
  </sheetData>
  <dataValidations count="1">
    <dataValidation type="whole" allowBlank="1" showInputMessage="1" showErrorMessage="1" sqref="B4:B154">
      <formula1>1</formula1>
      <formula2>100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Knop3_Klikken">
                <anchor moveWithCells="1" sizeWithCells="1">
                  <from>
                    <xdr:col>6</xdr:col>
                    <xdr:colOff>57150</xdr:colOff>
                    <xdr:row>0</xdr:row>
                    <xdr:rowOff>57150</xdr:rowOff>
                  </from>
                  <to>
                    <xdr:col>7</xdr:col>
                    <xdr:colOff>0</xdr:colOff>
                    <xdr:row>0</xdr:row>
                    <xdr:rowOff>333375</xdr:rowOff>
                  </to>
                </anchor>
              </controlPr>
            </control>
          </mc:Choice>
        </mc:AlternateContent>
        <mc:AlternateContent xmlns:mc="http://schemas.openxmlformats.org/markup-compatibility/2006">
          <mc:Choice Requires="x14">
            <control shapeId="2052" r:id="rId5" name="Button 4">
              <controlPr defaultSize="0" print="0" autoFill="0" autoPict="0" macro="[0]!Knop4_Klikken">
                <anchor moveWithCells="1" sizeWithCells="1">
                  <from>
                    <xdr:col>7</xdr:col>
                    <xdr:colOff>66675</xdr:colOff>
                    <xdr:row>0</xdr:row>
                    <xdr:rowOff>57150</xdr:rowOff>
                  </from>
                  <to>
                    <xdr:col>8</xdr:col>
                    <xdr:colOff>0</xdr:colOff>
                    <xdr:row>0</xdr:row>
                    <xdr:rowOff>333375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KerntakenEnWerkprocessen!$B$13:$B$27</xm:f>
          </x14:formula1>
          <xm:sqref>A4:A154</xm:sqref>
        </x14:dataValidation>
        <x14:dataValidation type="list" allowBlank="1" showInputMessage="1" showErrorMessage="1">
          <x14:formula1>
            <xm:f>Systeem!$B$3:$B$4</xm:f>
          </x14:formula1>
          <xm:sqref>K4:K154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5">
    <tabColor indexed="22"/>
    <pageSetUpPr fitToPage="1"/>
  </sheetPr>
  <dimension ref="A1:F14"/>
  <sheetViews>
    <sheetView tabSelected="1" workbookViewId="0">
      <selection activeCell="A5" sqref="A5"/>
    </sheetView>
  </sheetViews>
  <sheetFormatPr defaultRowHeight="15" x14ac:dyDescent="0.25"/>
  <cols>
    <col min="1" max="1" width="33.140625" customWidth="1"/>
    <col min="2" max="3" width="33.5703125" customWidth="1"/>
  </cols>
  <sheetData>
    <row r="1" spans="1:6" ht="31.5" x14ac:dyDescent="0.5">
      <c r="A1" s="84" t="s">
        <v>62</v>
      </c>
      <c r="B1" s="84"/>
      <c r="C1" s="84"/>
    </row>
    <row r="3" spans="1:6" ht="24" customHeight="1" x14ac:dyDescent="0.25">
      <c r="A3" s="79" t="s">
        <v>35</v>
      </c>
      <c r="B3" s="80"/>
      <c r="C3" s="81"/>
    </row>
    <row r="4" spans="1:6" ht="2.25" customHeight="1" x14ac:dyDescent="0.25">
      <c r="A4" s="30"/>
      <c r="B4" s="41"/>
      <c r="C4" s="41"/>
    </row>
    <row r="5" spans="1:6" s="16" customFormat="1" ht="34.5" customHeight="1" x14ac:dyDescent="0.25">
      <c r="A5" s="42" t="s">
        <v>52</v>
      </c>
      <c r="B5" s="40" t="str">
        <f>KerntakenEnWerkprocessen!B4</f>
        <v>BF_AMO_AO16-B1-K3_1</v>
      </c>
      <c r="C5" s="44">
        <f>KerntakenEnWerkprocessen!B3</f>
        <v>42528</v>
      </c>
    </row>
    <row r="6" spans="1:6" s="16" customFormat="1" ht="23.25" customHeight="1" x14ac:dyDescent="0.25">
      <c r="A6" s="18" t="s">
        <v>36</v>
      </c>
      <c r="B6" s="85" t="str">
        <f>KerntakenEnWerkprocessen!C6</f>
        <v>Proeve van Bekwaamheid (praktijkexamen in de beroepspraktijk)</v>
      </c>
      <c r="C6" s="86"/>
    </row>
    <row r="7" spans="1:6" s="16" customFormat="1" ht="23.25" customHeight="1" x14ac:dyDescent="0.25">
      <c r="A7" s="18" t="s">
        <v>49</v>
      </c>
      <c r="B7" s="85" t="str">
        <f>KerntakenEnWerkprocessen!B7</f>
        <v>[Examennaam]</v>
      </c>
      <c r="C7" s="86"/>
    </row>
    <row r="8" spans="1:6" s="16" customFormat="1" ht="23.25" customHeight="1" x14ac:dyDescent="0.25">
      <c r="A8" s="18" t="s">
        <v>50</v>
      </c>
      <c r="B8" s="85" t="str">
        <f>KerntakenEnWerkprocessen!C7</f>
        <v>[Examencode]</v>
      </c>
      <c r="C8" s="86"/>
    </row>
    <row r="9" spans="1:6" s="16" customFormat="1" ht="23.25" customHeight="1" x14ac:dyDescent="0.25">
      <c r="A9" s="18" t="s">
        <v>56</v>
      </c>
      <c r="B9" s="85" t="str">
        <f>KerntakenEnWerkprocessen!B9</f>
        <v>P1: Applicatie- en mediaontwikkelaar, 4</v>
      </c>
      <c r="C9" s="86"/>
    </row>
    <row r="10" spans="1:6" s="16" customFormat="1" ht="23.25" customHeight="1" x14ac:dyDescent="0.25">
      <c r="A10" s="18" t="s">
        <v>55</v>
      </c>
      <c r="B10" s="85" t="str">
        <f>KerntakenEnWerkprocessen!B8</f>
        <v>Applicatieontwikkeling</v>
      </c>
      <c r="C10" s="86"/>
    </row>
    <row r="11" spans="1:6" s="16" customFormat="1" ht="23.25" customHeight="1" x14ac:dyDescent="0.25">
      <c r="A11" s="18" t="s">
        <v>51</v>
      </c>
      <c r="B11" s="22" t="str">
        <f>KerntakenEnWerkprocessen!C8</f>
        <v>2016 en verder</v>
      </c>
      <c r="C11" s="22">
        <f>KerntakenEnWerkprocessen!C9</f>
        <v>25187</v>
      </c>
    </row>
    <row r="12" spans="1:6" s="37" customFormat="1" ht="23.25" customHeight="1" x14ac:dyDescent="0.25">
      <c r="A12" s="38" t="s">
        <v>9</v>
      </c>
      <c r="B12" s="83" t="str">
        <f>KerntakenEnWerkprocessen!C5</f>
        <v>Levert een product op</v>
      </c>
      <c r="C12" s="83"/>
    </row>
    <row r="13" spans="1:6" s="16" customFormat="1" ht="2.1" customHeight="1" x14ac:dyDescent="0.25">
      <c r="A13" s="30"/>
      <c r="B13" s="32"/>
      <c r="C13" s="33"/>
    </row>
    <row r="14" spans="1:6" ht="222.75" customHeight="1" x14ac:dyDescent="0.25">
      <c r="A14" s="31" t="s">
        <v>10</v>
      </c>
      <c r="B14" s="82" t="str">
        <f>KerntakenEnWerkprocessen!F2</f>
        <v xml:space="preserve">B1-K3-W1 Optimaliseert het product
B1-K3-W2 Levert het product op
B1-K3-W3 Evalueert het opgeleverde product
</v>
      </c>
      <c r="C14" s="82"/>
      <c r="F14" s="29"/>
    </row>
  </sheetData>
  <mergeCells count="9">
    <mergeCell ref="B10:C10"/>
    <mergeCell ref="B12:C12"/>
    <mergeCell ref="B14:C14"/>
    <mergeCell ref="A1:C1"/>
    <mergeCell ref="A3:C3"/>
    <mergeCell ref="B6:C6"/>
    <mergeCell ref="B7:C7"/>
    <mergeCell ref="B8:C8"/>
    <mergeCell ref="B9:C9"/>
  </mergeCells>
  <pageMargins left="0.70866141732283472" right="0.70866141732283472" top="0.74803149606299213" bottom="0.74803149606299213" header="0.31496062992125984" footer="0.31496062992125984"/>
  <pageSetup paperSize="9" scale="87" orientation="portrait" r:id="rId1"/>
  <headerFooter>
    <oddFooter>&amp;L© Stichting Praktijkleren&amp;C[KW_KDcohort-EPx_B/Px-Kx_1X1]&amp;R&amp;P/&amp;N</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28">
    <tabColor indexed="22"/>
    <pageSetUpPr fitToPage="1"/>
  </sheetPr>
  <dimension ref="A1:O88"/>
  <sheetViews>
    <sheetView showGridLines="0" topLeftCell="B28" workbookViewId="0">
      <selection activeCell="F31" sqref="F31"/>
    </sheetView>
  </sheetViews>
  <sheetFormatPr defaultRowHeight="15" x14ac:dyDescent="0.25"/>
  <cols>
    <col min="1" max="1" width="18.140625" hidden="1" customWidth="1"/>
    <col min="2" max="2" width="20.140625" customWidth="1"/>
    <col min="3" max="3" width="17.28515625" customWidth="1"/>
    <col min="4" max="7" width="23.7109375" style="8" customWidth="1"/>
    <col min="8" max="15" width="0" hidden="1" customWidth="1"/>
  </cols>
  <sheetData>
    <row r="1" spans="1:7" hidden="1" x14ac:dyDescent="0.25">
      <c r="A1" t="s">
        <v>25</v>
      </c>
      <c r="B1" s="6" t="s">
        <v>72</v>
      </c>
      <c r="C1" s="57" t="str">
        <f>VLOOKUP(B1,werkprocessen,2,FALSE)</f>
        <v>Optimaliseert het product</v>
      </c>
    </row>
    <row r="2" spans="1:7" hidden="1" x14ac:dyDescent="0.25">
      <c r="A2" t="s">
        <v>26</v>
      </c>
      <c r="B2" s="6">
        <f>VLOOKUP(B1,KerntakenEnWerkprocessen!B13:E27,3,FALSE)</f>
        <v>1</v>
      </c>
    </row>
    <row r="3" spans="1:7" hidden="1" x14ac:dyDescent="0.25">
      <c r="A3" t="s">
        <v>27</v>
      </c>
      <c r="B3" s="6">
        <f>VLOOKUP(B1,KerntakenEnWerkprocessen!B13:E27,4,FALSE)</f>
        <v>2</v>
      </c>
    </row>
    <row r="4" spans="1:7" hidden="1" x14ac:dyDescent="0.25">
      <c r="A4" t="s">
        <v>32</v>
      </c>
      <c r="B4" s="6">
        <f>SUM(N:N)</f>
        <v>25</v>
      </c>
      <c r="C4" s="56" t="s">
        <v>64</v>
      </c>
      <c r="D4" s="55" t="b">
        <f>IF(SUM(O:O)&gt;0,TRUE,FALSE)</f>
        <v>0</v>
      </c>
    </row>
    <row r="5" spans="1:7" hidden="1" x14ac:dyDescent="0.25">
      <c r="A5" t="s">
        <v>31</v>
      </c>
      <c r="B5" s="6">
        <f>SUM(M:M)</f>
        <v>0</v>
      </c>
    </row>
    <row r="6" spans="1:7" hidden="1" x14ac:dyDescent="0.25">
      <c r="A6" t="s">
        <v>42</v>
      </c>
      <c r="B6" s="6">
        <f>COUNTIF(N:N,1)</f>
        <v>1</v>
      </c>
    </row>
    <row r="7" spans="1:7" hidden="1" x14ac:dyDescent="0.25">
      <c r="A7" t="s">
        <v>43</v>
      </c>
      <c r="B7" s="6">
        <f>COUNTIF(N:N,2)+COUNTIF(N:N,3)</f>
        <v>8</v>
      </c>
    </row>
    <row r="8" spans="1:7" hidden="1" x14ac:dyDescent="0.25">
      <c r="A8" t="s">
        <v>34</v>
      </c>
      <c r="B8" s="6">
        <f>0.5*B4</f>
        <v>12.5</v>
      </c>
    </row>
    <row r="10" spans="1:7" ht="36.75" customHeight="1" x14ac:dyDescent="0.5">
      <c r="B10" s="87" t="str">
        <f>CONCATENATE(kerntaakCode,": ",kerntaakNaam)</f>
        <v>B1-K3: Levert een product op</v>
      </c>
      <c r="C10" s="87"/>
      <c r="D10" s="87"/>
      <c r="E10" s="87"/>
      <c r="F10" s="87"/>
      <c r="G10" s="87"/>
    </row>
    <row r="11" spans="1:7" ht="28.5" customHeight="1" x14ac:dyDescent="0.4">
      <c r="B11" s="88" t="str">
        <f>CONCATENATE(VLOOKUP(B1,werkprocessen,1,FALSE),": ",C1)</f>
        <v>B1-K3-W1: Optimaliseert het product</v>
      </c>
      <c r="C11" s="88"/>
      <c r="D11" s="88"/>
      <c r="E11" s="88"/>
      <c r="F11" s="88"/>
      <c r="G11" s="88"/>
    </row>
    <row r="13" spans="1:7" ht="24" customHeight="1" x14ac:dyDescent="0.25">
      <c r="B13" s="89" t="s">
        <v>21</v>
      </c>
      <c r="C13" s="90"/>
      <c r="D13" s="90"/>
      <c r="E13" s="90"/>
      <c r="F13" s="90"/>
      <c r="G13" s="91"/>
    </row>
    <row r="14" spans="1:7" ht="22.5" customHeight="1" x14ac:dyDescent="0.25">
      <c r="B14" s="17" t="s">
        <v>16</v>
      </c>
      <c r="C14" s="11"/>
      <c r="D14" s="9"/>
      <c r="E14" s="9"/>
      <c r="F14" s="9"/>
      <c r="G14" s="13"/>
    </row>
    <row r="15" spans="1:7" ht="22.5" customHeight="1" x14ac:dyDescent="0.25">
      <c r="B15" s="17" t="s">
        <v>47</v>
      </c>
      <c r="C15" s="12"/>
      <c r="D15" s="10"/>
      <c r="E15" s="10"/>
      <c r="F15" s="10"/>
      <c r="G15" s="14"/>
    </row>
    <row r="16" spans="1:7" ht="22.5" customHeight="1" x14ac:dyDescent="0.25">
      <c r="B16" s="17" t="s">
        <v>17</v>
      </c>
      <c r="C16" s="12"/>
      <c r="D16" s="10"/>
      <c r="E16" s="10"/>
      <c r="F16" s="10"/>
      <c r="G16" s="14"/>
    </row>
    <row r="17" spans="1:15" ht="22.5" customHeight="1" x14ac:dyDescent="0.25">
      <c r="B17" s="17" t="s">
        <v>18</v>
      </c>
      <c r="C17" s="12"/>
      <c r="D17" s="10"/>
      <c r="E17" s="10"/>
      <c r="F17" s="10"/>
      <c r="G17" s="14"/>
    </row>
    <row r="18" spans="1:15" ht="22.5" customHeight="1" x14ac:dyDescent="0.25">
      <c r="B18" s="17" t="s">
        <v>19</v>
      </c>
      <c r="C18" s="12"/>
      <c r="D18" s="10"/>
      <c r="E18" s="10"/>
      <c r="F18" s="10"/>
      <c r="G18" s="14"/>
    </row>
    <row r="19" spans="1:15" ht="22.5" customHeight="1" x14ac:dyDescent="0.25">
      <c r="B19" s="17" t="s">
        <v>20</v>
      </c>
      <c r="C19" s="12"/>
      <c r="D19" s="10"/>
      <c r="E19" s="10"/>
      <c r="F19" s="10"/>
      <c r="G19" s="14"/>
    </row>
    <row r="20" spans="1:15" ht="23.25" customHeight="1" x14ac:dyDescent="0.25"/>
    <row r="21" spans="1:15" ht="24" customHeight="1" x14ac:dyDescent="0.25">
      <c r="B21" s="97" t="s">
        <v>154</v>
      </c>
      <c r="C21" s="97"/>
      <c r="D21" s="97"/>
      <c r="E21" s="97"/>
      <c r="F21" s="97"/>
      <c r="G21" s="97"/>
    </row>
    <row r="22" spans="1:15" hidden="1" x14ac:dyDescent="0.25">
      <c r="A22" t="s">
        <v>155</v>
      </c>
      <c r="B22" s="60">
        <v>1</v>
      </c>
      <c r="D22" s="8" t="s">
        <v>156</v>
      </c>
      <c r="E22" s="61" t="s">
        <v>157</v>
      </c>
      <c r="G22" s="8" t="s">
        <v>158</v>
      </c>
      <c r="H22" s="60">
        <f>COUNTIF(Beheersingsniveaus!$C$4:$C$154,$E22)</f>
        <v>3</v>
      </c>
    </row>
    <row r="23" spans="1:15" x14ac:dyDescent="0.25">
      <c r="A23" t="s">
        <v>29</v>
      </c>
      <c r="B23" s="74" t="s">
        <v>159</v>
      </c>
      <c r="C23" s="74" t="s">
        <v>3</v>
      </c>
      <c r="D23" s="74">
        <v>0</v>
      </c>
      <c r="E23" s="74">
        <v>1</v>
      </c>
      <c r="F23" s="74">
        <v>2</v>
      </c>
      <c r="G23" s="74">
        <v>3</v>
      </c>
      <c r="H23" t="s">
        <v>8</v>
      </c>
      <c r="I23" t="s">
        <v>160</v>
      </c>
      <c r="J23" t="s">
        <v>161</v>
      </c>
      <c r="K23" t="s">
        <v>162</v>
      </c>
      <c r="L23" t="s">
        <v>163</v>
      </c>
      <c r="M23" t="s">
        <v>31</v>
      </c>
      <c r="N23" t="s">
        <v>32</v>
      </c>
      <c r="O23" t="s">
        <v>164</v>
      </c>
    </row>
    <row r="24" spans="1:15" ht="189.95" customHeight="1" x14ac:dyDescent="0.25">
      <c r="A24" s="63" t="s">
        <v>165</v>
      </c>
      <c r="B24" s="75" t="str">
        <f>VLOOKUP($A24,Beheersingsniveaus!$D$4:$K$154,2,FALSE)</f>
        <v>T1</v>
      </c>
      <c r="C24" s="75" t="str">
        <f>CONCATENATE(VLOOKUP($A24,Beheersingsniveaus!$D$4:$K$154,3,FALSE),IF($H24=ja,"*",""))</f>
        <v>Acceptatietest*</v>
      </c>
      <c r="D24" s="76" t="str">
        <f>VLOOKUP($A24,Beheersingsniveaus!$D$4:$K$154,4,FALSE)</f>
        <v>Weinig functionele eisen uit het FO komen terug in de acceptatietest en de scenario’s. En/of een cruciale eis ontbreekt.
De testset(s) zijn niet aanwezig.</v>
      </c>
      <c r="E24" s="76" t="str">
        <f>VLOOKUP($A24,Beheersingsniveaus!$D$4:$K$154,5,FALSE)</f>
        <v xml:space="preserve">Bijna alle functionele eisen uit het FO komen terug in de acceptatietest en de scenario’s. Alle cruciale eisen zijn aanwezig.
De testset(s) zijn voor een klein deel aanwezig.
</v>
      </c>
      <c r="F24" s="76" t="str">
        <f>VLOOKUP($A24,Beheersingsniveaus!$D$4:$K$154,6,FALSE)</f>
        <v>Alle functionele eisen uit het FO komen terug in de acceptatietest en de scenario’s.
De testset(s) zijn voor een groot deel aanwezig.</v>
      </c>
      <c r="G24" s="76" t="str">
        <f>VLOOKUP($A24,Beheersingsniveaus!$D$4:$K$154,7,FALSE)</f>
        <v>Alle functionele eisen uit het FO komen terug in de acceptatietest en de scenario’s.
Alle testset(s) zijn aanwezig.</v>
      </c>
      <c r="H24" s="60" t="str">
        <f>VLOOKUP($A24,Beheersingsniveaus!$D$4:$K$154,8,FALSE)</f>
        <v>Ja</v>
      </c>
      <c r="I24" s="60"/>
      <c r="J24" s="60"/>
      <c r="K24" s="60"/>
      <c r="L24" s="60"/>
      <c r="M24" s="60">
        <f>IF(L24=TRUE,3,IF(K24=TRUE,2,IF(J24=TRUE,1,IF(I24=TRUE,0,0))))</f>
        <v>0</v>
      </c>
      <c r="N24" s="60">
        <f>(4-COUNTBLANK(D24:G24))-1</f>
        <v>3</v>
      </c>
      <c r="O24" s="60">
        <f>COUNTA(I24:L24)</f>
        <v>0</v>
      </c>
    </row>
    <row r="25" spans="1:15" ht="114.95" customHeight="1" x14ac:dyDescent="0.25">
      <c r="A25" s="63" t="s">
        <v>166</v>
      </c>
      <c r="B25" s="75" t="str">
        <f>VLOOKUP($A25,Beheersingsniveaus!$D$4:$K$154,2,FALSE)</f>
        <v>T1</v>
      </c>
      <c r="C25" s="75" t="str">
        <f>CONCATENATE(VLOOKUP($A25,Beheersingsniveaus!$D$4:$K$154,3,FALSE),IF($H25=ja,"*",""))</f>
        <v>Uitvoerbaarheid</v>
      </c>
      <c r="D25" s="76" t="str">
        <f>VLOOKUP($A25,Beheersingsniveaus!$D$4:$K$154,4,FALSE)</f>
        <v>De scenario’s in de acceptatietest zijn niet uitvoerbaar in de applicatie die getest wordt.</v>
      </c>
      <c r="E25" s="76" t="str">
        <f>VLOOKUP($A25,Beheersingsniveaus!$D$4:$K$154,5,FALSE)</f>
        <v>Een klein deel scenario’s in de acceptatietest zijn uitvoerbaar in de applicatie die getest wordt.</v>
      </c>
      <c r="F25" s="76" t="str">
        <f>VLOOKUP($A25,Beheersingsniveaus!$D$4:$K$154,6,FALSE)</f>
        <v xml:space="preserve">Een groot deel scenario’s in de acceptatietest zijn uitvoerbaar in de applicatie die getest wordt.
</v>
      </c>
      <c r="G25" s="76" t="str">
        <f>VLOOKUP($A25,Beheersingsniveaus!$D$4:$K$154,7,FALSE)</f>
        <v>Alle scenario’s in de acceptatietest zijn uitvoerbaar in de applicatie die getest wordt.</v>
      </c>
      <c r="H25" s="60">
        <f>VLOOKUP($A25,Beheersingsniveaus!$D$4:$K$154,8,FALSE)</f>
        <v>0</v>
      </c>
      <c r="I25" s="60"/>
      <c r="J25" s="60"/>
      <c r="K25" s="60"/>
      <c r="L25" s="60"/>
      <c r="M25" s="60">
        <f>IF(L25=TRUE,3,IF(K25=TRUE,2,IF(J25=TRUE,1,IF(I25=TRUE,0,0))))</f>
        <v>0</v>
      </c>
      <c r="N25" s="60">
        <f>(4-COUNTBLANK(D25:G25))-1</f>
        <v>3</v>
      </c>
      <c r="O25" s="60">
        <f>COUNTA(I25:L25)</f>
        <v>0</v>
      </c>
    </row>
    <row r="26" spans="1:15" ht="294.95" customHeight="1" x14ac:dyDescent="0.25">
      <c r="A26" s="63" t="s">
        <v>167</v>
      </c>
      <c r="B26" s="75" t="str">
        <f>VLOOKUP($A26,Beheersingsniveaus!$D$4:$K$154,2,FALSE)</f>
        <v>T1</v>
      </c>
      <c r="C26" s="75" t="str">
        <f>CONCATENATE(VLOOKUP($A26,Beheersingsniveaus!$D$4:$K$154,3,FALSE),IF($H26=ja,"*",""))</f>
        <v>Scenario’s (volgens functionele eisen)</v>
      </c>
      <c r="D26" s="76" t="str">
        <f>VLOOKUP($A26,Beheersingsniveaus!$D$4:$K$154,4,FALSE)</f>
        <v xml:space="preserve">Bijna alle scenario’s bevatten een begin- en eindsituatie en een controle-element voor de gebruiker.
Bijna alle toegestane situaties worden getest. De niet toegestane situaties worden niet getest. 
Weinig scenario’s bevatten begrijpelijke instructies voor de gebruiker.
</v>
      </c>
      <c r="E26" s="76" t="str">
        <f>VLOOKUP($A26,Beheersingsniveaus!$D$4:$K$154,5,FALSE)</f>
        <v>Bijna alle scenario’s bevatten een begin- en eindsituatie en een controle-element voor de gebruiker.
Bijna alle toegestane situaties worden getest. Ook de niet toegestane situaties worden getest.
Weinig scenario’s bevatten begrijpelijke instructies voor de gebruiker.</v>
      </c>
      <c r="F26" s="76" t="str">
        <f>VLOOKUP($A26,Beheersingsniveaus!$D$4:$K$154,6,FALSE)</f>
        <v>Alle scenario’s bevatten een begin- en eindsituatie en een controle-element voor de gebruiker.
Bijna alle toegestane situaties worden getest. Ook de niet toegestane situaties worden getest.
Bijna alle scenario’s bevatten begrijpelijke instructies voor de gebruiker.</v>
      </c>
      <c r="G26" s="76" t="str">
        <f>VLOOKUP($A26,Beheersingsniveaus!$D$4:$K$154,7,FALSE)</f>
        <v>Alle scenario’s bevatten een begin- en eindsituatie en een controle-element voor de gebruiker.
Alle toegestane situaties worden getest. Ook de niet toegestane situaties worden getest.
Alle scenario’s bevatten begrijpelijke instructies voor de gebruiker.</v>
      </c>
      <c r="H26" s="60">
        <f>VLOOKUP($A26,Beheersingsniveaus!$D$4:$K$154,8,FALSE)</f>
        <v>0</v>
      </c>
      <c r="I26" s="60"/>
      <c r="J26" s="60"/>
      <c r="K26" s="60"/>
      <c r="L26" s="60"/>
      <c r="M26" s="60">
        <f>IF(L26=TRUE,3,IF(K26=TRUE,2,IF(J26=TRUE,1,IF(I26=TRUE,0,0))))</f>
        <v>0</v>
      </c>
      <c r="N26" s="60">
        <f>(4-COUNTBLANK(D26:G26))-1</f>
        <v>3</v>
      </c>
      <c r="O26" s="60">
        <f>COUNTA(I26:L26)</f>
        <v>0</v>
      </c>
    </row>
    <row r="28" spans="1:15" ht="24" customHeight="1" x14ac:dyDescent="0.25">
      <c r="B28" s="97" t="s">
        <v>168</v>
      </c>
      <c r="C28" s="97"/>
      <c r="D28" s="97"/>
      <c r="E28" s="97"/>
      <c r="F28" s="97"/>
      <c r="G28" s="97"/>
    </row>
    <row r="29" spans="1:15" hidden="1" x14ac:dyDescent="0.25">
      <c r="A29" t="s">
        <v>155</v>
      </c>
      <c r="B29" s="60">
        <v>2</v>
      </c>
      <c r="D29" s="8" t="s">
        <v>156</v>
      </c>
      <c r="E29" s="61" t="s">
        <v>169</v>
      </c>
      <c r="G29" s="8" t="s">
        <v>158</v>
      </c>
      <c r="H29" s="60">
        <f>COUNTIF(Beheersingsniveaus!$C$4:$C$154,$E29)</f>
        <v>6</v>
      </c>
    </row>
    <row r="30" spans="1:15" x14ac:dyDescent="0.25">
      <c r="A30" t="s">
        <v>29</v>
      </c>
      <c r="B30" s="74" t="s">
        <v>159</v>
      </c>
      <c r="C30" s="74" t="s">
        <v>3</v>
      </c>
      <c r="D30" s="74">
        <v>0</v>
      </c>
      <c r="E30" s="74">
        <v>1</v>
      </c>
      <c r="F30" s="74">
        <v>2</v>
      </c>
      <c r="G30" s="74">
        <v>3</v>
      </c>
      <c r="H30" t="s">
        <v>8</v>
      </c>
      <c r="I30" t="s">
        <v>160</v>
      </c>
      <c r="J30" t="s">
        <v>161</v>
      </c>
      <c r="K30" t="s">
        <v>162</v>
      </c>
      <c r="L30" t="s">
        <v>163</v>
      </c>
      <c r="M30" t="s">
        <v>31</v>
      </c>
      <c r="N30" t="s">
        <v>32</v>
      </c>
      <c r="O30" t="s">
        <v>164</v>
      </c>
    </row>
    <row r="31" spans="1:15" ht="159.94999999999999" customHeight="1" x14ac:dyDescent="0.25">
      <c r="A31" s="63" t="s">
        <v>170</v>
      </c>
      <c r="B31" s="75" t="str">
        <f>VLOOKUP($A31,Beheersingsniveaus!$D$4:$K$154,2,FALSE)</f>
        <v>T2</v>
      </c>
      <c r="C31" s="75" t="str">
        <f>CONCATENATE(VLOOKUP($A31,Beheersingsniveaus!$D$4:$K$154,3,FALSE),IF($H31=ja,"*",""))</f>
        <v>Uitvoeren acceptatietest*</v>
      </c>
      <c r="D31" s="76" t="str">
        <f>VLOOKUP($A31,Beheersingsniveaus!$D$4:$K$154,4,FALSE)</f>
        <v>De acceptatietest wordt niet of nauwelijks ingeleid.
Relevante ervaringen en gedrag van gebruikers worden niet of nauwelijks genoteerd.</v>
      </c>
      <c r="E31" s="76" t="str">
        <f>VLOOKUP($A31,Beheersingsniveaus!$D$4:$K$154,5,FALSE)</f>
        <v>De acceptatietest wordt niet goed ingeleid. 
Relevante ervaringen en gedrag van gebruikers worden deels genoteerd.</v>
      </c>
      <c r="F31" s="76" t="str">
        <f>VLOOKUP($A31,Beheersingsniveaus!$D$4:$K$154,6,FALSE)</f>
        <v xml:space="preserve">De acceptatietest wordt kort en goed ingeleid.
Relevante ervaringen en gedrag van gebruikers worden deels genoteerd. </v>
      </c>
      <c r="G31" s="76" t="str">
        <f>VLOOKUP($A31,Beheersingsniveaus!$D$4:$K$154,7,FALSE)</f>
        <v>De acceptatietest wordt kort en goed ingeleid. 
Relevante ervaringen en gedrag van gebruikers worden genoteerd.</v>
      </c>
      <c r="H31" s="60" t="str">
        <f>VLOOKUP($A31,Beheersingsniveaus!$D$4:$K$154,8,FALSE)</f>
        <v>Ja</v>
      </c>
      <c r="I31" s="60"/>
      <c r="J31" s="60"/>
      <c r="K31" s="60"/>
      <c r="L31" s="60"/>
      <c r="M31" s="60">
        <f t="shared" ref="M31:M36" si="0">IF(L31=TRUE,3,IF(K31=TRUE,2,IF(J31=TRUE,1,IF(I31=TRUE,0,0))))</f>
        <v>0</v>
      </c>
      <c r="N31" s="60">
        <f t="shared" ref="N31:N36" si="1">(4-COUNTBLANK(D31:G31))-1</f>
        <v>3</v>
      </c>
      <c r="O31" s="60">
        <f t="shared" ref="O31:O36" si="2">COUNTA(I31:L31)</f>
        <v>0</v>
      </c>
    </row>
    <row r="32" spans="1:15" ht="189.95" customHeight="1" x14ac:dyDescent="0.25">
      <c r="A32" s="63" t="s">
        <v>171</v>
      </c>
      <c r="B32" s="75" t="str">
        <f>VLOOKUP($A32,Beheersingsniveaus!$D$4:$K$154,2,FALSE)</f>
        <v>T2</v>
      </c>
      <c r="C32" s="75" t="str">
        <f>CONCATENATE(VLOOKUP($A32,Beheersingsniveaus!$D$4:$K$154,3,FALSE),IF($H32=ja,"*",""))</f>
        <v>Communiceren met betrokkenen*</v>
      </c>
      <c r="D32" s="76" t="str">
        <f>VLOOKUP($A32,Beheersingsniveaus!$D$4:$K$154,4,FALSE)</f>
        <v>Luistert naar opmerkingen van gebruikers en reageert niet of nauwelijks objectief en constructief.
Het is nodig om extra vragen te stellen, maar dit gebeurt niet.</v>
      </c>
      <c r="E32" s="76" t="str">
        <f>VLOOKUP($A32,Beheersingsniveaus!$D$4:$K$154,5,FALSE)</f>
        <v>Luistert naar opmerkingen en reageert voor een klein deel objectief en constructief.
Indien nodig worden vragen gesteld om extra informatie te achterhalen.</v>
      </c>
      <c r="F32" s="76" t="str">
        <f>VLOOKUP($A32,Beheersingsniveaus!$D$4:$K$154,6,FALSE)</f>
        <v>Luistert aandachtig en begripvol naar opmerkingen en reageert grotendeels objectief en constructief.
Indien nodig worden vragen gesteld om extra informatie te achterhalen.</v>
      </c>
      <c r="G32" s="76" t="str">
        <f>VLOOKUP($A32,Beheersingsniveaus!$D$4:$K$154,7,FALSE)</f>
        <v>Luistert aandachtig en begripvol naar opmerkingen en reageert objectief en constructief.
Indien nodig worden vragen gesteld om extra informatie te achterhalen.</v>
      </c>
      <c r="H32" s="60" t="str">
        <f>VLOOKUP($A32,Beheersingsniveaus!$D$4:$K$154,8,FALSE)</f>
        <v>Ja</v>
      </c>
      <c r="I32" s="60"/>
      <c r="J32" s="60"/>
      <c r="K32" s="60"/>
      <c r="L32" s="60"/>
      <c r="M32" s="60">
        <f t="shared" si="0"/>
        <v>0</v>
      </c>
      <c r="N32" s="60">
        <f t="shared" si="1"/>
        <v>3</v>
      </c>
      <c r="O32" s="60">
        <f t="shared" si="2"/>
        <v>0</v>
      </c>
    </row>
    <row r="33" spans="1:15" ht="99.95" customHeight="1" x14ac:dyDescent="0.25">
      <c r="A33" s="63" t="s">
        <v>172</v>
      </c>
      <c r="B33" s="75" t="str">
        <f>VLOOKUP($A33,Beheersingsniveaus!$D$4:$K$154,2,FALSE)</f>
        <v>T2</v>
      </c>
      <c r="C33" s="75" t="str">
        <f>CONCATENATE(VLOOKUP($A33,Beheersingsniveaus!$D$4:$K$154,3,FALSE),IF($H33=ja,"*",""))</f>
        <v>Verzamelen testresultaten</v>
      </c>
      <c r="D33" s="76" t="str">
        <f>VLOOKUP($A33,Beheersingsniveaus!$D$4:$K$154,4,FALSE)</f>
        <v xml:space="preserve">De testresultaten van de gebruikers worden niet of nauwelijks verzameld.
</v>
      </c>
      <c r="E33" s="76" t="str">
        <f>VLOOKUP($A33,Beheersingsniveaus!$D$4:$K$154,5,FALSE)</f>
        <v>De testresultaten van de gebruikers worden voor een klein deel verzameld.</v>
      </c>
      <c r="F33" s="76" t="str">
        <f>VLOOKUP($A33,Beheersingsniveaus!$D$4:$K$154,6,FALSE)</f>
        <v>De testresultaten van de gebruikers worden grotendeels verzameld.</v>
      </c>
      <c r="G33" s="76" t="str">
        <f>VLOOKUP($A33,Beheersingsniveaus!$D$4:$K$154,7,FALSE)</f>
        <v>Alle testresultaten van de gebruikers worden verzameld.</v>
      </c>
      <c r="H33" s="60">
        <f>VLOOKUP($A33,Beheersingsniveaus!$D$4:$K$154,8,FALSE)</f>
        <v>0</v>
      </c>
      <c r="I33" s="60"/>
      <c r="J33" s="60"/>
      <c r="K33" s="60"/>
      <c r="L33" s="60"/>
      <c r="M33" s="60">
        <f t="shared" si="0"/>
        <v>0</v>
      </c>
      <c r="N33" s="60">
        <f t="shared" si="1"/>
        <v>3</v>
      </c>
      <c r="O33" s="60">
        <f t="shared" si="2"/>
        <v>0</v>
      </c>
    </row>
    <row r="34" spans="1:15" ht="354.95" customHeight="1" x14ac:dyDescent="0.25">
      <c r="A34" s="63" t="s">
        <v>173</v>
      </c>
      <c r="B34" s="75" t="str">
        <f>VLOOKUP($A34,Beheersingsniveaus!$D$4:$K$154,2,FALSE)</f>
        <v>T3</v>
      </c>
      <c r="C34" s="75" t="str">
        <f>CONCATENATE(VLOOKUP($A34,Beheersingsniveaus!$D$4:$K$154,3,FALSE),IF($H34=ja,"*",""))</f>
        <v>Uitwerken testresultaten</v>
      </c>
      <c r="D34" s="76" t="str">
        <f>VLOOKUP($A34,Beheersingsniveaus!$D$4:$K$154,4,FALSE)</f>
        <v>Uit de testresultaten  worden niet of nauwelijks de juiste conclusies getrokken, volgens de functionele eisen.
Of
De benodigde aanpassingen worden niet of nauwelijks correct geprioriteerd.
Of
De bijbehorende werkzaamheden worden niet of nauwelijks beschreven.</v>
      </c>
      <c r="E34" s="76" t="str">
        <f>VLOOKUP($A34,Beheersingsniveaus!$D$4:$K$154,5,FALSE)</f>
        <v>Uit de testresultaten  worden grotendeels de juiste conclusies getrokken, volgens de functionele eisen.
De benodigde aanpassingen worden grotendeels correct geprioriteerd en de bijbehorende werkzaamheden worden grotendeels beschreven.</v>
      </c>
      <c r="F34" s="76" t="str">
        <f>VLOOKUP($A34,Beheersingsniveaus!$D$4:$K$154,6,FALSE)</f>
        <v>Uit de testresultaten  worden de juiste conclusies getrokken, volgens de functionele eisen.
De benodigde aanpassingen worden grotendeels correct geprioriteerd en de bijbehorende werkzaamheden worden grotendeels beschreven.</v>
      </c>
      <c r="G34" s="76" t="str">
        <f>VLOOKUP($A34,Beheersingsniveaus!$D$4:$K$154,7,FALSE)</f>
        <v>Uit de testresultaten  worden de juiste conclusies getrokken, volgens de functionele eisen.
De benodigde aanpassingen worden correct geprioriteerd en de bijbehorende werkzaamheden worden beschreven.</v>
      </c>
      <c r="H34" s="60">
        <f>VLOOKUP($A34,Beheersingsniveaus!$D$4:$K$154,8,FALSE)</f>
        <v>0</v>
      </c>
      <c r="I34" s="60"/>
      <c r="J34" s="60"/>
      <c r="K34" s="60"/>
      <c r="L34" s="60"/>
      <c r="M34" s="60">
        <f t="shared" si="0"/>
        <v>0</v>
      </c>
      <c r="N34" s="60">
        <f t="shared" si="1"/>
        <v>3</v>
      </c>
      <c r="O34" s="60">
        <f t="shared" si="2"/>
        <v>0</v>
      </c>
    </row>
    <row r="35" spans="1:15" ht="249.95" customHeight="1" x14ac:dyDescent="0.25">
      <c r="A35" s="63" t="s">
        <v>174</v>
      </c>
      <c r="B35" s="75" t="str">
        <f>VLOOKUP($A35,Beheersingsniveaus!$D$4:$K$154,2,FALSE)</f>
        <v>T3</v>
      </c>
      <c r="C35" s="75" t="str">
        <f>CONCATENATE(VLOOKUP($A35,Beheersingsniveaus!$D$4:$K$154,3,FALSE),IF($H35=ja,"*",""))</f>
        <v>Uitvoeren testresultaten</v>
      </c>
      <c r="D35" s="76" t="str">
        <f>VLOOKUP($A35,Beheersingsniveaus!$D$4:$K$154,4,FALSE)</f>
        <v>Weinig beschreven werkzaamheden worden uitgevoerd.
Of
Er is niet of nauwelijks volgens voorgeschreven eisen gecodeerd.
Of 
Weinig aanpassingen worden getest.</v>
      </c>
      <c r="E35" s="76" t="str">
        <f>VLOOKUP($A35,Beheersingsniveaus!$D$4:$K$154,5,FALSE)</f>
        <v>Bijna alle beschreven werkzaamheden worden uitgevoerd.
Er is grotendeels volgens voorgeschreven eisen gecodeerd.
Bijna alle aanpassingen worden getest.</v>
      </c>
      <c r="F35" s="76" t="str">
        <f>VLOOKUP($A35,Beheersingsniveaus!$D$4:$K$154,6,FALSE)</f>
        <v>Alle beschreven werkzaamheden worden uitgevoerd.
Er is volgens voorgeschreven eisen gecodeerd.
Bijna alle aanpassingen worden getest.</v>
      </c>
      <c r="G35" s="76" t="str">
        <f>VLOOKUP($A35,Beheersingsniveaus!$D$4:$K$154,7,FALSE)</f>
        <v>Alle beschreven werkzaamheden worden uitgevoerd.
Er is volgens voorgeschreven eisen gecodeerd.
Alle aanpassingen worden getest.</v>
      </c>
      <c r="H35" s="60">
        <f>VLOOKUP($A35,Beheersingsniveaus!$D$4:$K$154,8,FALSE)</f>
        <v>0</v>
      </c>
      <c r="I35" s="60"/>
      <c r="J35" s="60"/>
      <c r="K35" s="60"/>
      <c r="L35" s="60"/>
      <c r="M35" s="60">
        <f t="shared" si="0"/>
        <v>0</v>
      </c>
      <c r="N35" s="60">
        <f t="shared" si="1"/>
        <v>3</v>
      </c>
      <c r="O35" s="60">
        <f t="shared" si="2"/>
        <v>0</v>
      </c>
    </row>
    <row r="36" spans="1:15" ht="84.95" customHeight="1" x14ac:dyDescent="0.25">
      <c r="A36" s="63" t="s">
        <v>175</v>
      </c>
      <c r="B36" s="75" t="str">
        <f>VLOOKUP($A36,Beheersingsniveaus!$D$4:$K$154,2,FALSE)</f>
        <v>T4</v>
      </c>
      <c r="C36" s="75" t="str">
        <f>CONCATENATE(VLOOKUP($A36,Beheersingsniveaus!$D$4:$K$154,3,FALSE),IF($H36=ja,"*",""))</f>
        <v>Documenteren</v>
      </c>
      <c r="D36" s="76" t="str">
        <f>VLOOKUP($A36,Beheersingsniveaus!$D$4:$K$154,4,FALSE)</f>
        <v xml:space="preserve">De documentatie is niet volledig en/of correct en/of duidelijk.
</v>
      </c>
      <c r="E36" s="76" t="str">
        <f>VLOOKUP($A36,Beheersingsniveaus!$D$4:$K$154,5,FALSE)</f>
        <v>De documentatie is volledig, correct en duidelijk.</v>
      </c>
      <c r="F36" s="64"/>
      <c r="G36" s="64"/>
      <c r="H36" s="60">
        <f>VLOOKUP($A36,Beheersingsniveaus!$D$4:$K$154,8,FALSE)</f>
        <v>0</v>
      </c>
      <c r="I36" s="60"/>
      <c r="J36" s="60"/>
      <c r="K36" s="60"/>
      <c r="L36" s="60"/>
      <c r="M36" s="60">
        <f t="shared" si="0"/>
        <v>0</v>
      </c>
      <c r="N36" s="60">
        <f t="shared" si="1"/>
        <v>1</v>
      </c>
      <c r="O36" s="60">
        <f t="shared" si="2"/>
        <v>0</v>
      </c>
    </row>
    <row r="37" spans="1:15" x14ac:dyDescent="0.25">
      <c r="B37" t="s">
        <v>176</v>
      </c>
    </row>
    <row r="38" spans="1:15" ht="28.5" customHeight="1" x14ac:dyDescent="0.4">
      <c r="B38" s="98" t="s">
        <v>177</v>
      </c>
      <c r="C38" s="99"/>
      <c r="D38" s="99"/>
      <c r="E38" s="99"/>
      <c r="F38" s="99"/>
      <c r="G38" s="99"/>
    </row>
    <row r="39" spans="1:15" ht="26.1" customHeight="1" x14ac:dyDescent="0.25">
      <c r="B39" s="65" t="s">
        <v>178</v>
      </c>
    </row>
    <row r="40" spans="1:15" hidden="1" x14ac:dyDescent="0.25">
      <c r="B40" t="s">
        <v>179</v>
      </c>
      <c r="C40" s="60">
        <f>COUNTIF($H:$H,ja)</f>
        <v>3</v>
      </c>
      <c r="D40" s="8" t="s">
        <v>180</v>
      </c>
      <c r="E40" s="61" t="b">
        <f>IF(COUNTIF(J40:J44,FALSE)=0,TRUE,FALSE)</f>
        <v>0</v>
      </c>
    </row>
    <row r="41" spans="1:15" x14ac:dyDescent="0.25">
      <c r="A41" t="s">
        <v>29</v>
      </c>
      <c r="B41" s="66" t="s">
        <v>181</v>
      </c>
      <c r="C41" s="66"/>
      <c r="D41" s="68" t="s">
        <v>182</v>
      </c>
      <c r="E41" s="69"/>
      <c r="H41" t="s">
        <v>183</v>
      </c>
      <c r="I41" t="s">
        <v>184</v>
      </c>
      <c r="J41" t="s">
        <v>185</v>
      </c>
    </row>
    <row r="42" spans="1:15" x14ac:dyDescent="0.25">
      <c r="A42" s="60" t="s">
        <v>165</v>
      </c>
      <c r="B42" t="str">
        <f>VLOOKUP($A42,Beheersingsniveaus!$D$3:$F$154,3,FALSE)</f>
        <v>Acceptatietest</v>
      </c>
      <c r="D42" s="70" t="s">
        <v>14</v>
      </c>
      <c r="E42" s="70" t="s">
        <v>15</v>
      </c>
      <c r="H42" s="60" t="b">
        <f>J42</f>
        <v>0</v>
      </c>
      <c r="I42" s="60" t="b">
        <f>IF(J42=FALSE,TRUE,FALSE)</f>
        <v>1</v>
      </c>
      <c r="J42" s="60" t="b">
        <f>IF(VLOOKUP($A42,$A$21:$N$37,13,FALSE)&gt;0,TRUE,FALSE)</f>
        <v>0</v>
      </c>
    </row>
    <row r="43" spans="1:15" x14ac:dyDescent="0.25">
      <c r="A43" s="60" t="s">
        <v>170</v>
      </c>
      <c r="B43" t="str">
        <f>VLOOKUP($A43,Beheersingsniveaus!$D$3:$F$154,3,FALSE)</f>
        <v>Uitvoeren acceptatietest</v>
      </c>
      <c r="D43" s="70" t="s">
        <v>14</v>
      </c>
      <c r="E43" s="70" t="s">
        <v>15</v>
      </c>
      <c r="H43" s="60" t="b">
        <f>J43</f>
        <v>0</v>
      </c>
      <c r="I43" s="60" t="b">
        <f>IF(J43=FALSE,TRUE,FALSE)</f>
        <v>1</v>
      </c>
      <c r="J43" s="60" t="b">
        <f>IF(VLOOKUP($A43,$A$21:$N$37,13,FALSE)&gt;0,TRUE,FALSE)</f>
        <v>0</v>
      </c>
    </row>
    <row r="44" spans="1:15" x14ac:dyDescent="0.25">
      <c r="A44" s="60" t="s">
        <v>171</v>
      </c>
      <c r="B44" t="str">
        <f>VLOOKUP($A44,Beheersingsniveaus!$D$3:$F$154,3,FALSE)</f>
        <v>Communiceren met betrokkenen</v>
      </c>
      <c r="D44" s="70" t="s">
        <v>14</v>
      </c>
      <c r="E44" s="70" t="s">
        <v>15</v>
      </c>
      <c r="H44" s="60" t="b">
        <f>J44</f>
        <v>0</v>
      </c>
      <c r="I44" s="60" t="b">
        <f>IF(J44=FALSE,TRUE,FALSE)</f>
        <v>1</v>
      </c>
      <c r="J44" s="60" t="b">
        <f>IF(VLOOKUP($A44,$A$21:$N$37,13,FALSE)&gt;0,TRUE,FALSE)</f>
        <v>0</v>
      </c>
    </row>
    <row r="47" spans="1:15" x14ac:dyDescent="0.25">
      <c r="B47" t="s">
        <v>186</v>
      </c>
    </row>
    <row r="48" spans="1:15" x14ac:dyDescent="0.25">
      <c r="B48" s="71" t="s">
        <v>14</v>
      </c>
      <c r="C48" t="s">
        <v>187</v>
      </c>
      <c r="H48" s="60" t="b">
        <f>E40</f>
        <v>0</v>
      </c>
    </row>
    <row r="49" spans="2:8" x14ac:dyDescent="0.25">
      <c r="B49" s="71" t="s">
        <v>15</v>
      </c>
      <c r="C49" t="s">
        <v>188</v>
      </c>
      <c r="H49" s="60" t="b">
        <f>IF(E40=FALSE,TRUE,FALSE)</f>
        <v>1</v>
      </c>
    </row>
    <row r="51" spans="2:8" ht="26.1" customHeight="1" x14ac:dyDescent="0.25">
      <c r="B51" s="65" t="s">
        <v>189</v>
      </c>
    </row>
    <row r="52" spans="2:8" x14ac:dyDescent="0.25">
      <c r="B52" s="66" t="s">
        <v>190</v>
      </c>
      <c r="C52" s="66" t="s">
        <v>191</v>
      </c>
      <c r="D52" s="69" t="s">
        <v>192</v>
      </c>
    </row>
    <row r="53" spans="2:8" x14ac:dyDescent="0.25">
      <c r="B53" s="67">
        <v>0</v>
      </c>
      <c r="C53" s="72">
        <f t="shared" ref="C53:C78" si="3">ROUNDUP(IF(B53&lt;$B$8,4.5/$B$8*B53+1,4.5/($B$4-$B$8)*(B53-$B$8)+5.5),1)</f>
        <v>1</v>
      </c>
      <c r="D53" s="62" t="str">
        <f t="shared" ref="D53:D78" si="4">IF($B53=$B$5,"X","")</f>
        <v>X</v>
      </c>
    </row>
    <row r="54" spans="2:8" x14ac:dyDescent="0.25">
      <c r="B54" s="67">
        <v>1</v>
      </c>
      <c r="C54" s="72">
        <f t="shared" si="3"/>
        <v>1.4000000000000001</v>
      </c>
      <c r="D54" s="62" t="str">
        <f t="shared" si="4"/>
        <v/>
      </c>
    </row>
    <row r="55" spans="2:8" x14ac:dyDescent="0.25">
      <c r="B55" s="67">
        <v>2</v>
      </c>
      <c r="C55" s="72">
        <f t="shared" si="3"/>
        <v>1.8</v>
      </c>
      <c r="D55" s="62" t="str">
        <f t="shared" si="4"/>
        <v/>
      </c>
    </row>
    <row r="56" spans="2:8" x14ac:dyDescent="0.25">
      <c r="B56" s="67">
        <v>3</v>
      </c>
      <c r="C56" s="72">
        <f t="shared" si="3"/>
        <v>2.1</v>
      </c>
      <c r="D56" s="62" t="str">
        <f t="shared" si="4"/>
        <v/>
      </c>
    </row>
    <row r="57" spans="2:8" x14ac:dyDescent="0.25">
      <c r="B57" s="67">
        <v>4</v>
      </c>
      <c r="C57" s="72">
        <f t="shared" si="3"/>
        <v>2.5</v>
      </c>
      <c r="D57" s="62" t="str">
        <f t="shared" si="4"/>
        <v/>
      </c>
    </row>
    <row r="58" spans="2:8" x14ac:dyDescent="0.25">
      <c r="B58" s="67">
        <v>5</v>
      </c>
      <c r="C58" s="72">
        <f t="shared" si="3"/>
        <v>2.8</v>
      </c>
      <c r="D58" s="62" t="str">
        <f t="shared" si="4"/>
        <v/>
      </c>
    </row>
    <row r="59" spans="2:8" x14ac:dyDescent="0.25">
      <c r="B59" s="67">
        <v>6</v>
      </c>
      <c r="C59" s="72">
        <f t="shared" si="3"/>
        <v>3.2</v>
      </c>
      <c r="D59" s="62" t="str">
        <f t="shared" si="4"/>
        <v/>
      </c>
    </row>
    <row r="60" spans="2:8" x14ac:dyDescent="0.25">
      <c r="B60" s="67">
        <v>7</v>
      </c>
      <c r="C60" s="72">
        <f t="shared" si="3"/>
        <v>3.6</v>
      </c>
      <c r="D60" s="62" t="str">
        <f t="shared" si="4"/>
        <v/>
      </c>
    </row>
    <row r="61" spans="2:8" x14ac:dyDescent="0.25">
      <c r="B61" s="67">
        <v>8</v>
      </c>
      <c r="C61" s="72">
        <f t="shared" si="3"/>
        <v>3.9</v>
      </c>
      <c r="D61" s="62" t="str">
        <f t="shared" si="4"/>
        <v/>
      </c>
    </row>
    <row r="62" spans="2:8" x14ac:dyDescent="0.25">
      <c r="B62" s="67">
        <v>9</v>
      </c>
      <c r="C62" s="72">
        <f t="shared" si="3"/>
        <v>4.3</v>
      </c>
      <c r="D62" s="62" t="str">
        <f t="shared" si="4"/>
        <v/>
      </c>
    </row>
    <row r="63" spans="2:8" x14ac:dyDescent="0.25">
      <c r="B63" s="67">
        <v>10</v>
      </c>
      <c r="C63" s="72">
        <f t="shared" si="3"/>
        <v>4.5999999999999996</v>
      </c>
      <c r="D63" s="62" t="str">
        <f t="shared" si="4"/>
        <v/>
      </c>
    </row>
    <row r="64" spans="2:8" x14ac:dyDescent="0.25">
      <c r="B64" s="67">
        <v>11</v>
      </c>
      <c r="C64" s="72">
        <f t="shared" si="3"/>
        <v>5</v>
      </c>
      <c r="D64" s="62" t="str">
        <f t="shared" si="4"/>
        <v/>
      </c>
    </row>
    <row r="65" spans="2:4" x14ac:dyDescent="0.25">
      <c r="B65" s="67">
        <v>12</v>
      </c>
      <c r="C65" s="72">
        <f t="shared" si="3"/>
        <v>5.3999999999999995</v>
      </c>
      <c r="D65" s="62" t="str">
        <f t="shared" si="4"/>
        <v/>
      </c>
    </row>
    <row r="66" spans="2:4" x14ac:dyDescent="0.25">
      <c r="B66" s="67">
        <v>13</v>
      </c>
      <c r="C66" s="72">
        <f t="shared" si="3"/>
        <v>5.6999999999999993</v>
      </c>
      <c r="D66" s="62" t="str">
        <f t="shared" si="4"/>
        <v/>
      </c>
    </row>
    <row r="67" spans="2:4" x14ac:dyDescent="0.25">
      <c r="B67" s="67">
        <v>14</v>
      </c>
      <c r="C67" s="72">
        <f t="shared" si="3"/>
        <v>6.1</v>
      </c>
      <c r="D67" s="62" t="str">
        <f t="shared" si="4"/>
        <v/>
      </c>
    </row>
    <row r="68" spans="2:4" x14ac:dyDescent="0.25">
      <c r="B68" s="67">
        <v>15</v>
      </c>
      <c r="C68" s="72">
        <f t="shared" si="3"/>
        <v>6.4</v>
      </c>
      <c r="D68" s="62" t="str">
        <f t="shared" si="4"/>
        <v/>
      </c>
    </row>
    <row r="69" spans="2:4" x14ac:dyDescent="0.25">
      <c r="B69" s="67">
        <v>16</v>
      </c>
      <c r="C69" s="72">
        <f t="shared" si="3"/>
        <v>6.8</v>
      </c>
      <c r="D69" s="62" t="str">
        <f t="shared" si="4"/>
        <v/>
      </c>
    </row>
    <row r="70" spans="2:4" x14ac:dyDescent="0.25">
      <c r="B70" s="67">
        <v>17</v>
      </c>
      <c r="C70" s="72">
        <f t="shared" si="3"/>
        <v>7.1999999999999993</v>
      </c>
      <c r="D70" s="62" t="str">
        <f t="shared" si="4"/>
        <v/>
      </c>
    </row>
    <row r="71" spans="2:4" x14ac:dyDescent="0.25">
      <c r="B71" s="67">
        <v>18</v>
      </c>
      <c r="C71" s="72">
        <f t="shared" si="3"/>
        <v>7.5</v>
      </c>
      <c r="D71" s="62" t="str">
        <f t="shared" si="4"/>
        <v/>
      </c>
    </row>
    <row r="72" spans="2:4" x14ac:dyDescent="0.25">
      <c r="B72" s="67">
        <v>19</v>
      </c>
      <c r="C72" s="72">
        <f t="shared" si="3"/>
        <v>7.8999999999999995</v>
      </c>
      <c r="D72" s="62" t="str">
        <f t="shared" si="4"/>
        <v/>
      </c>
    </row>
    <row r="73" spans="2:4" x14ac:dyDescent="0.25">
      <c r="B73" s="67">
        <v>20</v>
      </c>
      <c r="C73" s="72">
        <f t="shared" si="3"/>
        <v>8.1999999999999993</v>
      </c>
      <c r="D73" s="62" t="str">
        <f t="shared" si="4"/>
        <v/>
      </c>
    </row>
    <row r="74" spans="2:4" x14ac:dyDescent="0.25">
      <c r="B74" s="67">
        <v>21</v>
      </c>
      <c r="C74" s="72">
        <f t="shared" si="3"/>
        <v>8.6</v>
      </c>
      <c r="D74" s="62" t="str">
        <f t="shared" si="4"/>
        <v/>
      </c>
    </row>
    <row r="75" spans="2:4" x14ac:dyDescent="0.25">
      <c r="B75" s="67">
        <v>22</v>
      </c>
      <c r="C75" s="72">
        <f t="shared" si="3"/>
        <v>9</v>
      </c>
      <c r="D75" s="62" t="str">
        <f t="shared" si="4"/>
        <v/>
      </c>
    </row>
    <row r="76" spans="2:4" x14ac:dyDescent="0.25">
      <c r="B76" s="67">
        <v>23</v>
      </c>
      <c r="C76" s="72">
        <f t="shared" si="3"/>
        <v>9.2999999999999989</v>
      </c>
      <c r="D76" s="62" t="str">
        <f t="shared" si="4"/>
        <v/>
      </c>
    </row>
    <row r="77" spans="2:4" x14ac:dyDescent="0.25">
      <c r="B77" s="67">
        <v>24</v>
      </c>
      <c r="C77" s="72">
        <f t="shared" si="3"/>
        <v>9.6999999999999993</v>
      </c>
      <c r="D77" s="62" t="str">
        <f t="shared" si="4"/>
        <v/>
      </c>
    </row>
    <row r="78" spans="2:4" x14ac:dyDescent="0.25">
      <c r="B78" s="67">
        <v>25</v>
      </c>
      <c r="C78" s="72">
        <f t="shared" si="3"/>
        <v>10</v>
      </c>
      <c r="D78" s="62" t="str">
        <f t="shared" si="4"/>
        <v/>
      </c>
    </row>
    <row r="80" spans="2:4" ht="26.1" customHeight="1" x14ac:dyDescent="0.25">
      <c r="B80" s="65" t="s">
        <v>193</v>
      </c>
    </row>
    <row r="81" spans="2:7" x14ac:dyDescent="0.25">
      <c r="B81" t="s">
        <v>194</v>
      </c>
    </row>
    <row r="82" spans="2:7" ht="35.1" customHeight="1" x14ac:dyDescent="0.25">
      <c r="B82" s="93" t="s">
        <v>195</v>
      </c>
      <c r="C82" s="93"/>
      <c r="D82" s="93"/>
      <c r="E82" s="93"/>
      <c r="F82" s="93"/>
      <c r="G82" s="93"/>
    </row>
    <row r="83" spans="2:7" ht="300" customHeight="1" x14ac:dyDescent="0.25">
      <c r="B83" s="94"/>
      <c r="C83" s="94"/>
      <c r="D83" s="94"/>
      <c r="E83" s="94"/>
      <c r="F83" s="94"/>
      <c r="G83" s="94"/>
    </row>
    <row r="85" spans="2:7" ht="26.1" customHeight="1" x14ac:dyDescent="0.25">
      <c r="B85" s="65" t="s">
        <v>196</v>
      </c>
    </row>
    <row r="86" spans="2:7" ht="24.95" customHeight="1" x14ac:dyDescent="0.25">
      <c r="B86" s="19" t="s">
        <v>197</v>
      </c>
    </row>
    <row r="87" spans="2:7" ht="90" customHeight="1" x14ac:dyDescent="0.25">
      <c r="B87" s="73" t="s">
        <v>19</v>
      </c>
      <c r="C87" s="95"/>
      <c r="D87" s="95"/>
    </row>
    <row r="88" spans="2:7" ht="90" customHeight="1" x14ac:dyDescent="0.25">
      <c r="B88" s="77" t="s">
        <v>20</v>
      </c>
      <c r="C88" s="96"/>
      <c r="D88" s="96"/>
    </row>
  </sheetData>
  <mergeCells count="10">
    <mergeCell ref="B82:G82"/>
    <mergeCell ref="B83:G83"/>
    <mergeCell ref="C87:D87"/>
    <mergeCell ref="C88:D88"/>
    <mergeCell ref="B10:G10"/>
    <mergeCell ref="B11:G11"/>
    <mergeCell ref="B13:G13"/>
    <mergeCell ref="B21:G21"/>
    <mergeCell ref="B28:G28"/>
    <mergeCell ref="B38:G38"/>
  </mergeCells>
  <conditionalFormatting sqref="B24:G24">
    <cfRule type="expression" dxfId="22" priority="1" stopIfTrue="1">
      <formula>COUNTIF($I24:$L24,TRUE)&gt;1</formula>
    </cfRule>
  </conditionalFormatting>
  <conditionalFormatting sqref="B25:G25">
    <cfRule type="expression" dxfId="21" priority="2" stopIfTrue="1">
      <formula>COUNTIF($I25:$L25,TRUE)&gt;1</formula>
    </cfRule>
  </conditionalFormatting>
  <conditionalFormatting sqref="B26:G26">
    <cfRule type="expression" dxfId="20" priority="3" stopIfTrue="1">
      <formula>COUNTIF($I26:$L26,TRUE)&gt;1</formula>
    </cfRule>
  </conditionalFormatting>
  <conditionalFormatting sqref="B31:G31">
    <cfRule type="expression" dxfId="19" priority="4" stopIfTrue="1">
      <formula>COUNTIF($I31:$L31,TRUE)&gt;1</formula>
    </cfRule>
  </conditionalFormatting>
  <conditionalFormatting sqref="B32:G32">
    <cfRule type="expression" dxfId="18" priority="5" stopIfTrue="1">
      <formula>COUNTIF($I32:$L32,TRUE)&gt;1</formula>
    </cfRule>
  </conditionalFormatting>
  <conditionalFormatting sqref="B33:G33">
    <cfRule type="expression" dxfId="17" priority="6" stopIfTrue="1">
      <formula>COUNTIF($I33:$L33,TRUE)&gt;1</formula>
    </cfRule>
  </conditionalFormatting>
  <conditionalFormatting sqref="B34:G34">
    <cfRule type="expression" dxfId="16" priority="7" stopIfTrue="1">
      <formula>COUNTIF($I34:$L34,TRUE)&gt;1</formula>
    </cfRule>
  </conditionalFormatting>
  <conditionalFormatting sqref="B35:G35">
    <cfRule type="expression" dxfId="15" priority="8" stopIfTrue="1">
      <formula>COUNTIF($I35:$L35,TRUE)&gt;1</formula>
    </cfRule>
  </conditionalFormatting>
  <conditionalFormatting sqref="B36:G36">
    <cfRule type="expression" dxfId="14" priority="9" stopIfTrue="1">
      <formula>COUNTIF($I36:$L36,TRUE)&gt;1</formula>
    </cfRule>
  </conditionalFormatting>
  <conditionalFormatting sqref="B53:C78">
    <cfRule type="expression" dxfId="13" priority="10" stopIfTrue="1">
      <formula>$E$40=FALSE</formula>
    </cfRule>
  </conditionalFormatting>
  <conditionalFormatting sqref="D52:D78">
    <cfRule type="expression" dxfId="12" priority="11" stopIfTrue="1">
      <formula>$E$40=FALSE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Praktijkleren&amp;C[KW_KDcohort-EPx_B/Px-Kx_1X1]&amp;R&amp;P/&amp;N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3250" r:id="rId4" name="Check Box 2">
              <controlPr defaultSize="0" autoFill="0" autoLine="0" autoPict="0" macro="[0]!'OnClickCheckbox 24'">
                <anchor moveWithCells="1">
                  <from>
                    <xdr:col>3</xdr:col>
                    <xdr:colOff>0</xdr:colOff>
                    <xdr:row>23</xdr:row>
                    <xdr:rowOff>0</xdr:rowOff>
                  </from>
                  <to>
                    <xdr:col>4</xdr:col>
                    <xdr:colOff>0</xdr:colOff>
                    <xdr:row>23</xdr:row>
                    <xdr:rowOff>209550</xdr:rowOff>
                  </to>
                </anchor>
              </controlPr>
            </control>
          </mc:Choice>
        </mc:AlternateContent>
        <mc:AlternateContent xmlns:mc="http://schemas.openxmlformats.org/markup-compatibility/2006">
          <mc:Choice Requires="x14">
            <control shapeId="53251" r:id="rId5" name="Check Box 3">
              <controlPr defaultSize="0" autoFill="0" autoLine="0" autoPict="0" macro="[0]!'OnClickCheckbox 24'">
                <anchor moveWithCells="1">
                  <from>
                    <xdr:col>4</xdr:col>
                    <xdr:colOff>0</xdr:colOff>
                    <xdr:row>23</xdr:row>
                    <xdr:rowOff>0</xdr:rowOff>
                  </from>
                  <to>
                    <xdr:col>5</xdr:col>
                    <xdr:colOff>0</xdr:colOff>
                    <xdr:row>23</xdr:row>
                    <xdr:rowOff>209550</xdr:rowOff>
                  </to>
                </anchor>
              </controlPr>
            </control>
          </mc:Choice>
        </mc:AlternateContent>
        <mc:AlternateContent xmlns:mc="http://schemas.openxmlformats.org/markup-compatibility/2006">
          <mc:Choice Requires="x14">
            <control shapeId="53252" r:id="rId6" name="Check Box 4">
              <controlPr defaultSize="0" autoFill="0" autoLine="0" autoPict="0" macro="[0]!'OnClickCheckbox 24'">
                <anchor moveWithCells="1">
                  <from>
                    <xdr:col>5</xdr:col>
                    <xdr:colOff>0</xdr:colOff>
                    <xdr:row>23</xdr:row>
                    <xdr:rowOff>0</xdr:rowOff>
                  </from>
                  <to>
                    <xdr:col>6</xdr:col>
                    <xdr:colOff>0</xdr:colOff>
                    <xdr:row>23</xdr:row>
                    <xdr:rowOff>209550</xdr:rowOff>
                  </to>
                </anchor>
              </controlPr>
            </control>
          </mc:Choice>
        </mc:AlternateContent>
        <mc:AlternateContent xmlns:mc="http://schemas.openxmlformats.org/markup-compatibility/2006">
          <mc:Choice Requires="x14">
            <control shapeId="53253" r:id="rId7" name="Check Box 5">
              <controlPr defaultSize="0" autoFill="0" autoLine="0" autoPict="0" macro="[0]!'OnClickCheckbox 24'">
                <anchor moveWithCells="1">
                  <from>
                    <xdr:col>6</xdr:col>
                    <xdr:colOff>0</xdr:colOff>
                    <xdr:row>23</xdr:row>
                    <xdr:rowOff>0</xdr:rowOff>
                  </from>
                  <to>
                    <xdr:col>7</xdr:col>
                    <xdr:colOff>0</xdr:colOff>
                    <xdr:row>23</xdr:row>
                    <xdr:rowOff>209550</xdr:rowOff>
                  </to>
                </anchor>
              </controlPr>
            </control>
          </mc:Choice>
        </mc:AlternateContent>
        <mc:AlternateContent xmlns:mc="http://schemas.openxmlformats.org/markup-compatibility/2006">
          <mc:Choice Requires="x14">
            <control shapeId="53254" r:id="rId8" name="Check Box 6">
              <controlPr defaultSize="0" autoFill="0" autoLine="0" autoPict="0" macro="[0]!'OnClickCheckbox 25'">
                <anchor moveWithCells="1">
                  <from>
                    <xdr:col>3</xdr:col>
                    <xdr:colOff>0</xdr:colOff>
                    <xdr:row>24</xdr:row>
                    <xdr:rowOff>0</xdr:rowOff>
                  </from>
                  <to>
                    <xdr:col>4</xdr:col>
                    <xdr:colOff>0</xdr:colOff>
                    <xdr:row>24</xdr:row>
                    <xdr:rowOff>209550</xdr:rowOff>
                  </to>
                </anchor>
              </controlPr>
            </control>
          </mc:Choice>
        </mc:AlternateContent>
        <mc:AlternateContent xmlns:mc="http://schemas.openxmlformats.org/markup-compatibility/2006">
          <mc:Choice Requires="x14">
            <control shapeId="53255" r:id="rId9" name="Check Box 7">
              <controlPr defaultSize="0" autoFill="0" autoLine="0" autoPict="0" macro="[0]!'OnClickCheckbox 25'">
                <anchor moveWithCells="1">
                  <from>
                    <xdr:col>4</xdr:col>
                    <xdr:colOff>0</xdr:colOff>
                    <xdr:row>24</xdr:row>
                    <xdr:rowOff>0</xdr:rowOff>
                  </from>
                  <to>
                    <xdr:col>5</xdr:col>
                    <xdr:colOff>0</xdr:colOff>
                    <xdr:row>24</xdr:row>
                    <xdr:rowOff>209550</xdr:rowOff>
                  </to>
                </anchor>
              </controlPr>
            </control>
          </mc:Choice>
        </mc:AlternateContent>
        <mc:AlternateContent xmlns:mc="http://schemas.openxmlformats.org/markup-compatibility/2006">
          <mc:Choice Requires="x14">
            <control shapeId="53256" r:id="rId10" name="Check Box 8">
              <controlPr defaultSize="0" autoFill="0" autoLine="0" autoPict="0" macro="[0]!'OnClickCheckbox 25'">
                <anchor moveWithCells="1">
                  <from>
                    <xdr:col>5</xdr:col>
                    <xdr:colOff>0</xdr:colOff>
                    <xdr:row>24</xdr:row>
                    <xdr:rowOff>0</xdr:rowOff>
                  </from>
                  <to>
                    <xdr:col>6</xdr:col>
                    <xdr:colOff>0</xdr:colOff>
                    <xdr:row>24</xdr:row>
                    <xdr:rowOff>209550</xdr:rowOff>
                  </to>
                </anchor>
              </controlPr>
            </control>
          </mc:Choice>
        </mc:AlternateContent>
        <mc:AlternateContent xmlns:mc="http://schemas.openxmlformats.org/markup-compatibility/2006">
          <mc:Choice Requires="x14">
            <control shapeId="53257" r:id="rId11" name="Check Box 9">
              <controlPr defaultSize="0" autoFill="0" autoLine="0" autoPict="0" macro="[0]!'OnClickCheckbox 25'">
                <anchor moveWithCells="1">
                  <from>
                    <xdr:col>6</xdr:col>
                    <xdr:colOff>0</xdr:colOff>
                    <xdr:row>24</xdr:row>
                    <xdr:rowOff>0</xdr:rowOff>
                  </from>
                  <to>
                    <xdr:col>7</xdr:col>
                    <xdr:colOff>0</xdr:colOff>
                    <xdr:row>24</xdr:row>
                    <xdr:rowOff>209550</xdr:rowOff>
                  </to>
                </anchor>
              </controlPr>
            </control>
          </mc:Choice>
        </mc:AlternateContent>
        <mc:AlternateContent xmlns:mc="http://schemas.openxmlformats.org/markup-compatibility/2006">
          <mc:Choice Requires="x14">
            <control shapeId="53258" r:id="rId12" name="Check Box 10">
              <controlPr defaultSize="0" autoFill="0" autoLine="0" autoPict="0" macro="[0]!'OnClickCheckbox 26'">
                <anchor moveWithCells="1">
                  <from>
                    <xdr:col>3</xdr:col>
                    <xdr:colOff>0</xdr:colOff>
                    <xdr:row>25</xdr:row>
                    <xdr:rowOff>0</xdr:rowOff>
                  </from>
                  <to>
                    <xdr:col>4</xdr:col>
                    <xdr:colOff>0</xdr:colOff>
                    <xdr:row>25</xdr:row>
                    <xdr:rowOff>209550</xdr:rowOff>
                  </to>
                </anchor>
              </controlPr>
            </control>
          </mc:Choice>
        </mc:AlternateContent>
        <mc:AlternateContent xmlns:mc="http://schemas.openxmlformats.org/markup-compatibility/2006">
          <mc:Choice Requires="x14">
            <control shapeId="53259" r:id="rId13" name="Check Box 11">
              <controlPr defaultSize="0" autoFill="0" autoLine="0" autoPict="0" macro="[0]!'OnClickCheckbox 26'">
                <anchor moveWithCells="1">
                  <from>
                    <xdr:col>4</xdr:col>
                    <xdr:colOff>0</xdr:colOff>
                    <xdr:row>25</xdr:row>
                    <xdr:rowOff>0</xdr:rowOff>
                  </from>
                  <to>
                    <xdr:col>5</xdr:col>
                    <xdr:colOff>0</xdr:colOff>
                    <xdr:row>25</xdr:row>
                    <xdr:rowOff>209550</xdr:rowOff>
                  </to>
                </anchor>
              </controlPr>
            </control>
          </mc:Choice>
        </mc:AlternateContent>
        <mc:AlternateContent xmlns:mc="http://schemas.openxmlformats.org/markup-compatibility/2006">
          <mc:Choice Requires="x14">
            <control shapeId="53260" r:id="rId14" name="Check Box 12">
              <controlPr defaultSize="0" autoFill="0" autoLine="0" autoPict="0" macro="[0]!'OnClickCheckbox 26'">
                <anchor moveWithCells="1">
                  <from>
                    <xdr:col>5</xdr:col>
                    <xdr:colOff>0</xdr:colOff>
                    <xdr:row>25</xdr:row>
                    <xdr:rowOff>0</xdr:rowOff>
                  </from>
                  <to>
                    <xdr:col>6</xdr:col>
                    <xdr:colOff>0</xdr:colOff>
                    <xdr:row>25</xdr:row>
                    <xdr:rowOff>209550</xdr:rowOff>
                  </to>
                </anchor>
              </controlPr>
            </control>
          </mc:Choice>
        </mc:AlternateContent>
        <mc:AlternateContent xmlns:mc="http://schemas.openxmlformats.org/markup-compatibility/2006">
          <mc:Choice Requires="x14">
            <control shapeId="53261" r:id="rId15" name="Check Box 13">
              <controlPr defaultSize="0" autoFill="0" autoLine="0" autoPict="0" macro="[0]!'OnClickCheckbox 26'">
                <anchor moveWithCells="1">
                  <from>
                    <xdr:col>6</xdr:col>
                    <xdr:colOff>0</xdr:colOff>
                    <xdr:row>25</xdr:row>
                    <xdr:rowOff>0</xdr:rowOff>
                  </from>
                  <to>
                    <xdr:col>7</xdr:col>
                    <xdr:colOff>0</xdr:colOff>
                    <xdr:row>25</xdr:row>
                    <xdr:rowOff>209550</xdr:rowOff>
                  </to>
                </anchor>
              </controlPr>
            </control>
          </mc:Choice>
        </mc:AlternateContent>
        <mc:AlternateContent xmlns:mc="http://schemas.openxmlformats.org/markup-compatibility/2006">
          <mc:Choice Requires="x14">
            <control shapeId="53262" r:id="rId16" name="Check Box 14">
              <controlPr defaultSize="0" autoFill="0" autoLine="0" autoPict="0" macro="[0]!'OnClickCheckbox 31'">
                <anchor moveWithCells="1">
                  <from>
                    <xdr:col>3</xdr:col>
                    <xdr:colOff>0</xdr:colOff>
                    <xdr:row>30</xdr:row>
                    <xdr:rowOff>0</xdr:rowOff>
                  </from>
                  <to>
                    <xdr:col>4</xdr:col>
                    <xdr:colOff>0</xdr:colOff>
                    <xdr:row>30</xdr:row>
                    <xdr:rowOff>209550</xdr:rowOff>
                  </to>
                </anchor>
              </controlPr>
            </control>
          </mc:Choice>
        </mc:AlternateContent>
        <mc:AlternateContent xmlns:mc="http://schemas.openxmlformats.org/markup-compatibility/2006">
          <mc:Choice Requires="x14">
            <control shapeId="53263" r:id="rId17" name="Check Box 15">
              <controlPr defaultSize="0" autoFill="0" autoLine="0" autoPict="0" macro="[0]!'OnClickCheckbox 31'">
                <anchor moveWithCells="1">
                  <from>
                    <xdr:col>4</xdr:col>
                    <xdr:colOff>0</xdr:colOff>
                    <xdr:row>30</xdr:row>
                    <xdr:rowOff>0</xdr:rowOff>
                  </from>
                  <to>
                    <xdr:col>5</xdr:col>
                    <xdr:colOff>0</xdr:colOff>
                    <xdr:row>30</xdr:row>
                    <xdr:rowOff>209550</xdr:rowOff>
                  </to>
                </anchor>
              </controlPr>
            </control>
          </mc:Choice>
        </mc:AlternateContent>
        <mc:AlternateContent xmlns:mc="http://schemas.openxmlformats.org/markup-compatibility/2006">
          <mc:Choice Requires="x14">
            <control shapeId="53264" r:id="rId18" name="Check Box 16">
              <controlPr defaultSize="0" autoFill="0" autoLine="0" autoPict="0" macro="[0]!'OnClickCheckbox 31'">
                <anchor moveWithCells="1">
                  <from>
                    <xdr:col>5</xdr:col>
                    <xdr:colOff>0</xdr:colOff>
                    <xdr:row>30</xdr:row>
                    <xdr:rowOff>0</xdr:rowOff>
                  </from>
                  <to>
                    <xdr:col>6</xdr:col>
                    <xdr:colOff>0</xdr:colOff>
                    <xdr:row>30</xdr:row>
                    <xdr:rowOff>209550</xdr:rowOff>
                  </to>
                </anchor>
              </controlPr>
            </control>
          </mc:Choice>
        </mc:AlternateContent>
        <mc:AlternateContent xmlns:mc="http://schemas.openxmlformats.org/markup-compatibility/2006">
          <mc:Choice Requires="x14">
            <control shapeId="53265" r:id="rId19" name="Check Box 17">
              <controlPr defaultSize="0" autoFill="0" autoLine="0" autoPict="0" macro="[0]!'OnClickCheckbox 31'">
                <anchor moveWithCells="1">
                  <from>
                    <xdr:col>6</xdr:col>
                    <xdr:colOff>0</xdr:colOff>
                    <xdr:row>30</xdr:row>
                    <xdr:rowOff>0</xdr:rowOff>
                  </from>
                  <to>
                    <xdr:col>7</xdr:col>
                    <xdr:colOff>0</xdr:colOff>
                    <xdr:row>30</xdr:row>
                    <xdr:rowOff>209550</xdr:rowOff>
                  </to>
                </anchor>
              </controlPr>
            </control>
          </mc:Choice>
        </mc:AlternateContent>
        <mc:AlternateContent xmlns:mc="http://schemas.openxmlformats.org/markup-compatibility/2006">
          <mc:Choice Requires="x14">
            <control shapeId="53266" r:id="rId20" name="Check Box 18">
              <controlPr defaultSize="0" autoFill="0" autoLine="0" autoPict="0" macro="[0]!'OnClickCheckbox 32'">
                <anchor moveWithCells="1">
                  <from>
                    <xdr:col>3</xdr:col>
                    <xdr:colOff>0</xdr:colOff>
                    <xdr:row>31</xdr:row>
                    <xdr:rowOff>0</xdr:rowOff>
                  </from>
                  <to>
                    <xdr:col>4</xdr:col>
                    <xdr:colOff>0</xdr:colOff>
                    <xdr:row>31</xdr:row>
                    <xdr:rowOff>209550</xdr:rowOff>
                  </to>
                </anchor>
              </controlPr>
            </control>
          </mc:Choice>
        </mc:AlternateContent>
        <mc:AlternateContent xmlns:mc="http://schemas.openxmlformats.org/markup-compatibility/2006">
          <mc:Choice Requires="x14">
            <control shapeId="53267" r:id="rId21" name="Check Box 19">
              <controlPr defaultSize="0" autoFill="0" autoLine="0" autoPict="0" macro="[0]!'OnClickCheckbox 32'">
                <anchor moveWithCells="1">
                  <from>
                    <xdr:col>4</xdr:col>
                    <xdr:colOff>0</xdr:colOff>
                    <xdr:row>31</xdr:row>
                    <xdr:rowOff>0</xdr:rowOff>
                  </from>
                  <to>
                    <xdr:col>5</xdr:col>
                    <xdr:colOff>0</xdr:colOff>
                    <xdr:row>31</xdr:row>
                    <xdr:rowOff>209550</xdr:rowOff>
                  </to>
                </anchor>
              </controlPr>
            </control>
          </mc:Choice>
        </mc:AlternateContent>
        <mc:AlternateContent xmlns:mc="http://schemas.openxmlformats.org/markup-compatibility/2006">
          <mc:Choice Requires="x14">
            <control shapeId="53268" r:id="rId22" name="Check Box 20">
              <controlPr defaultSize="0" autoFill="0" autoLine="0" autoPict="0" macro="[0]!'OnClickCheckbox 32'">
                <anchor moveWithCells="1">
                  <from>
                    <xdr:col>5</xdr:col>
                    <xdr:colOff>0</xdr:colOff>
                    <xdr:row>31</xdr:row>
                    <xdr:rowOff>0</xdr:rowOff>
                  </from>
                  <to>
                    <xdr:col>6</xdr:col>
                    <xdr:colOff>0</xdr:colOff>
                    <xdr:row>31</xdr:row>
                    <xdr:rowOff>209550</xdr:rowOff>
                  </to>
                </anchor>
              </controlPr>
            </control>
          </mc:Choice>
        </mc:AlternateContent>
        <mc:AlternateContent xmlns:mc="http://schemas.openxmlformats.org/markup-compatibility/2006">
          <mc:Choice Requires="x14">
            <control shapeId="53269" r:id="rId23" name="Check Box 21">
              <controlPr defaultSize="0" autoFill="0" autoLine="0" autoPict="0" macro="[0]!'OnClickCheckbox 32'">
                <anchor moveWithCells="1">
                  <from>
                    <xdr:col>6</xdr:col>
                    <xdr:colOff>0</xdr:colOff>
                    <xdr:row>31</xdr:row>
                    <xdr:rowOff>0</xdr:rowOff>
                  </from>
                  <to>
                    <xdr:col>7</xdr:col>
                    <xdr:colOff>0</xdr:colOff>
                    <xdr:row>31</xdr:row>
                    <xdr:rowOff>209550</xdr:rowOff>
                  </to>
                </anchor>
              </controlPr>
            </control>
          </mc:Choice>
        </mc:AlternateContent>
        <mc:AlternateContent xmlns:mc="http://schemas.openxmlformats.org/markup-compatibility/2006">
          <mc:Choice Requires="x14">
            <control shapeId="53270" r:id="rId24" name="Check Box 22">
              <controlPr defaultSize="0" autoFill="0" autoLine="0" autoPict="0" macro="[0]!'OnClickCheckbox 33'">
                <anchor moveWithCells="1">
                  <from>
                    <xdr:col>3</xdr:col>
                    <xdr:colOff>0</xdr:colOff>
                    <xdr:row>32</xdr:row>
                    <xdr:rowOff>0</xdr:rowOff>
                  </from>
                  <to>
                    <xdr:col>4</xdr:col>
                    <xdr:colOff>0</xdr:colOff>
                    <xdr:row>32</xdr:row>
                    <xdr:rowOff>209550</xdr:rowOff>
                  </to>
                </anchor>
              </controlPr>
            </control>
          </mc:Choice>
        </mc:AlternateContent>
        <mc:AlternateContent xmlns:mc="http://schemas.openxmlformats.org/markup-compatibility/2006">
          <mc:Choice Requires="x14">
            <control shapeId="53271" r:id="rId25" name="Check Box 23">
              <controlPr defaultSize="0" autoFill="0" autoLine="0" autoPict="0" macro="[0]!'OnClickCheckbox 33'">
                <anchor moveWithCells="1">
                  <from>
                    <xdr:col>4</xdr:col>
                    <xdr:colOff>0</xdr:colOff>
                    <xdr:row>32</xdr:row>
                    <xdr:rowOff>0</xdr:rowOff>
                  </from>
                  <to>
                    <xdr:col>5</xdr:col>
                    <xdr:colOff>0</xdr:colOff>
                    <xdr:row>32</xdr:row>
                    <xdr:rowOff>209550</xdr:rowOff>
                  </to>
                </anchor>
              </controlPr>
            </control>
          </mc:Choice>
        </mc:AlternateContent>
        <mc:AlternateContent xmlns:mc="http://schemas.openxmlformats.org/markup-compatibility/2006">
          <mc:Choice Requires="x14">
            <control shapeId="53272" r:id="rId26" name="Check Box 24">
              <controlPr defaultSize="0" autoFill="0" autoLine="0" autoPict="0" macro="[0]!'OnClickCheckbox 33'">
                <anchor moveWithCells="1">
                  <from>
                    <xdr:col>5</xdr:col>
                    <xdr:colOff>0</xdr:colOff>
                    <xdr:row>32</xdr:row>
                    <xdr:rowOff>0</xdr:rowOff>
                  </from>
                  <to>
                    <xdr:col>6</xdr:col>
                    <xdr:colOff>0</xdr:colOff>
                    <xdr:row>32</xdr:row>
                    <xdr:rowOff>209550</xdr:rowOff>
                  </to>
                </anchor>
              </controlPr>
            </control>
          </mc:Choice>
        </mc:AlternateContent>
        <mc:AlternateContent xmlns:mc="http://schemas.openxmlformats.org/markup-compatibility/2006">
          <mc:Choice Requires="x14">
            <control shapeId="53273" r:id="rId27" name="Check Box 25">
              <controlPr defaultSize="0" autoFill="0" autoLine="0" autoPict="0" macro="[0]!'OnClickCheckbox 33'">
                <anchor moveWithCells="1">
                  <from>
                    <xdr:col>6</xdr:col>
                    <xdr:colOff>0</xdr:colOff>
                    <xdr:row>32</xdr:row>
                    <xdr:rowOff>0</xdr:rowOff>
                  </from>
                  <to>
                    <xdr:col>7</xdr:col>
                    <xdr:colOff>0</xdr:colOff>
                    <xdr:row>32</xdr:row>
                    <xdr:rowOff>209550</xdr:rowOff>
                  </to>
                </anchor>
              </controlPr>
            </control>
          </mc:Choice>
        </mc:AlternateContent>
        <mc:AlternateContent xmlns:mc="http://schemas.openxmlformats.org/markup-compatibility/2006">
          <mc:Choice Requires="x14">
            <control shapeId="53274" r:id="rId28" name="Check Box 26">
              <controlPr defaultSize="0" autoFill="0" autoLine="0" autoPict="0" macro="[0]!'OnClickCheckbox 34'">
                <anchor moveWithCells="1">
                  <from>
                    <xdr:col>3</xdr:col>
                    <xdr:colOff>0</xdr:colOff>
                    <xdr:row>33</xdr:row>
                    <xdr:rowOff>0</xdr:rowOff>
                  </from>
                  <to>
                    <xdr:col>4</xdr:col>
                    <xdr:colOff>0</xdr:colOff>
                    <xdr:row>33</xdr:row>
                    <xdr:rowOff>209550</xdr:rowOff>
                  </to>
                </anchor>
              </controlPr>
            </control>
          </mc:Choice>
        </mc:AlternateContent>
        <mc:AlternateContent xmlns:mc="http://schemas.openxmlformats.org/markup-compatibility/2006">
          <mc:Choice Requires="x14">
            <control shapeId="53275" r:id="rId29" name="Check Box 27">
              <controlPr defaultSize="0" autoFill="0" autoLine="0" autoPict="0" macro="[0]!'OnClickCheckbox 34'">
                <anchor moveWithCells="1">
                  <from>
                    <xdr:col>4</xdr:col>
                    <xdr:colOff>0</xdr:colOff>
                    <xdr:row>33</xdr:row>
                    <xdr:rowOff>0</xdr:rowOff>
                  </from>
                  <to>
                    <xdr:col>5</xdr:col>
                    <xdr:colOff>0</xdr:colOff>
                    <xdr:row>33</xdr:row>
                    <xdr:rowOff>209550</xdr:rowOff>
                  </to>
                </anchor>
              </controlPr>
            </control>
          </mc:Choice>
        </mc:AlternateContent>
        <mc:AlternateContent xmlns:mc="http://schemas.openxmlformats.org/markup-compatibility/2006">
          <mc:Choice Requires="x14">
            <control shapeId="53276" r:id="rId30" name="Check Box 28">
              <controlPr defaultSize="0" autoFill="0" autoLine="0" autoPict="0" macro="[0]!'OnClickCheckbox 34'">
                <anchor moveWithCells="1">
                  <from>
                    <xdr:col>5</xdr:col>
                    <xdr:colOff>0</xdr:colOff>
                    <xdr:row>33</xdr:row>
                    <xdr:rowOff>0</xdr:rowOff>
                  </from>
                  <to>
                    <xdr:col>6</xdr:col>
                    <xdr:colOff>0</xdr:colOff>
                    <xdr:row>33</xdr:row>
                    <xdr:rowOff>209550</xdr:rowOff>
                  </to>
                </anchor>
              </controlPr>
            </control>
          </mc:Choice>
        </mc:AlternateContent>
        <mc:AlternateContent xmlns:mc="http://schemas.openxmlformats.org/markup-compatibility/2006">
          <mc:Choice Requires="x14">
            <control shapeId="53277" r:id="rId31" name="Check Box 29">
              <controlPr defaultSize="0" autoFill="0" autoLine="0" autoPict="0" macro="[0]!'OnClickCheckbox 34'">
                <anchor moveWithCells="1">
                  <from>
                    <xdr:col>6</xdr:col>
                    <xdr:colOff>0</xdr:colOff>
                    <xdr:row>33</xdr:row>
                    <xdr:rowOff>0</xdr:rowOff>
                  </from>
                  <to>
                    <xdr:col>7</xdr:col>
                    <xdr:colOff>0</xdr:colOff>
                    <xdr:row>33</xdr:row>
                    <xdr:rowOff>209550</xdr:rowOff>
                  </to>
                </anchor>
              </controlPr>
            </control>
          </mc:Choice>
        </mc:AlternateContent>
        <mc:AlternateContent xmlns:mc="http://schemas.openxmlformats.org/markup-compatibility/2006">
          <mc:Choice Requires="x14">
            <control shapeId="53278" r:id="rId32" name="Check Box 30">
              <controlPr defaultSize="0" autoFill="0" autoLine="0" autoPict="0" macro="[0]!'OnClickCheckbox 35'">
                <anchor moveWithCells="1">
                  <from>
                    <xdr:col>3</xdr:col>
                    <xdr:colOff>0</xdr:colOff>
                    <xdr:row>34</xdr:row>
                    <xdr:rowOff>0</xdr:rowOff>
                  </from>
                  <to>
                    <xdr:col>4</xdr:col>
                    <xdr:colOff>0</xdr:colOff>
                    <xdr:row>34</xdr:row>
                    <xdr:rowOff>209550</xdr:rowOff>
                  </to>
                </anchor>
              </controlPr>
            </control>
          </mc:Choice>
        </mc:AlternateContent>
        <mc:AlternateContent xmlns:mc="http://schemas.openxmlformats.org/markup-compatibility/2006">
          <mc:Choice Requires="x14">
            <control shapeId="53279" r:id="rId33" name="Check Box 31">
              <controlPr defaultSize="0" autoFill="0" autoLine="0" autoPict="0" macro="[0]!'OnClickCheckbox 35'">
                <anchor moveWithCells="1">
                  <from>
                    <xdr:col>4</xdr:col>
                    <xdr:colOff>0</xdr:colOff>
                    <xdr:row>34</xdr:row>
                    <xdr:rowOff>0</xdr:rowOff>
                  </from>
                  <to>
                    <xdr:col>5</xdr:col>
                    <xdr:colOff>0</xdr:colOff>
                    <xdr:row>34</xdr:row>
                    <xdr:rowOff>209550</xdr:rowOff>
                  </to>
                </anchor>
              </controlPr>
            </control>
          </mc:Choice>
        </mc:AlternateContent>
        <mc:AlternateContent xmlns:mc="http://schemas.openxmlformats.org/markup-compatibility/2006">
          <mc:Choice Requires="x14">
            <control shapeId="53280" r:id="rId34" name="Check Box 32">
              <controlPr defaultSize="0" autoFill="0" autoLine="0" autoPict="0" macro="[0]!'OnClickCheckbox 35'">
                <anchor moveWithCells="1">
                  <from>
                    <xdr:col>5</xdr:col>
                    <xdr:colOff>0</xdr:colOff>
                    <xdr:row>34</xdr:row>
                    <xdr:rowOff>0</xdr:rowOff>
                  </from>
                  <to>
                    <xdr:col>6</xdr:col>
                    <xdr:colOff>0</xdr:colOff>
                    <xdr:row>34</xdr:row>
                    <xdr:rowOff>209550</xdr:rowOff>
                  </to>
                </anchor>
              </controlPr>
            </control>
          </mc:Choice>
        </mc:AlternateContent>
        <mc:AlternateContent xmlns:mc="http://schemas.openxmlformats.org/markup-compatibility/2006">
          <mc:Choice Requires="x14">
            <control shapeId="53281" r:id="rId35" name="Check Box 33">
              <controlPr defaultSize="0" autoFill="0" autoLine="0" autoPict="0" macro="[0]!'OnClickCheckbox 35'">
                <anchor moveWithCells="1">
                  <from>
                    <xdr:col>6</xdr:col>
                    <xdr:colOff>0</xdr:colOff>
                    <xdr:row>34</xdr:row>
                    <xdr:rowOff>0</xdr:rowOff>
                  </from>
                  <to>
                    <xdr:col>7</xdr:col>
                    <xdr:colOff>0</xdr:colOff>
                    <xdr:row>34</xdr:row>
                    <xdr:rowOff>209550</xdr:rowOff>
                  </to>
                </anchor>
              </controlPr>
            </control>
          </mc:Choice>
        </mc:AlternateContent>
        <mc:AlternateContent xmlns:mc="http://schemas.openxmlformats.org/markup-compatibility/2006">
          <mc:Choice Requires="x14">
            <control shapeId="53282" r:id="rId36" name="Check Box 34">
              <controlPr defaultSize="0" autoFill="0" autoLine="0" autoPict="0" macro="[0]!'OnClickCheckbox 36'">
                <anchor moveWithCells="1">
                  <from>
                    <xdr:col>3</xdr:col>
                    <xdr:colOff>0</xdr:colOff>
                    <xdr:row>35</xdr:row>
                    <xdr:rowOff>0</xdr:rowOff>
                  </from>
                  <to>
                    <xdr:col>4</xdr:col>
                    <xdr:colOff>0</xdr:colOff>
                    <xdr:row>35</xdr:row>
                    <xdr:rowOff>209550</xdr:rowOff>
                  </to>
                </anchor>
              </controlPr>
            </control>
          </mc:Choice>
        </mc:AlternateContent>
        <mc:AlternateContent xmlns:mc="http://schemas.openxmlformats.org/markup-compatibility/2006">
          <mc:Choice Requires="x14">
            <control shapeId="53283" r:id="rId37" name="Check Box 35">
              <controlPr defaultSize="0" autoFill="0" autoLine="0" autoPict="0" macro="[0]!'OnClickCheckbox 36'">
                <anchor moveWithCells="1">
                  <from>
                    <xdr:col>4</xdr:col>
                    <xdr:colOff>0</xdr:colOff>
                    <xdr:row>35</xdr:row>
                    <xdr:rowOff>0</xdr:rowOff>
                  </from>
                  <to>
                    <xdr:col>5</xdr:col>
                    <xdr:colOff>0</xdr:colOff>
                    <xdr:row>35</xdr:row>
                    <xdr:rowOff>209550</xdr:rowOff>
                  </to>
                </anchor>
              </controlPr>
            </control>
          </mc:Choice>
        </mc:AlternateContent>
        <mc:AlternateContent xmlns:mc="http://schemas.openxmlformats.org/markup-compatibility/2006">
          <mc:Choice Requires="x14">
            <control shapeId="53284" r:id="rId38" name="Check Box 36">
              <controlPr defaultSize="0" autoFill="0" autoLine="0" autoPict="0">
                <anchor moveWithCells="1">
                  <from>
                    <xdr:col>3</xdr:col>
                    <xdr:colOff>0</xdr:colOff>
                    <xdr:row>41</xdr:row>
                    <xdr:rowOff>0</xdr:rowOff>
                  </from>
                  <to>
                    <xdr:col>4</xdr:col>
                    <xdr:colOff>0</xdr:colOff>
                    <xdr:row>42</xdr:row>
                    <xdr:rowOff>19050</xdr:rowOff>
                  </to>
                </anchor>
              </controlPr>
            </control>
          </mc:Choice>
        </mc:AlternateContent>
        <mc:AlternateContent xmlns:mc="http://schemas.openxmlformats.org/markup-compatibility/2006">
          <mc:Choice Requires="x14">
            <control shapeId="53285" r:id="rId39" name="Check Box 37">
              <controlPr defaultSize="0" autoFill="0" autoLine="0" autoPict="0">
                <anchor moveWithCells="1">
                  <from>
                    <xdr:col>4</xdr:col>
                    <xdr:colOff>0</xdr:colOff>
                    <xdr:row>41</xdr:row>
                    <xdr:rowOff>0</xdr:rowOff>
                  </from>
                  <to>
                    <xdr:col>5</xdr:col>
                    <xdr:colOff>0</xdr:colOff>
                    <xdr:row>42</xdr:row>
                    <xdr:rowOff>19050</xdr:rowOff>
                  </to>
                </anchor>
              </controlPr>
            </control>
          </mc:Choice>
        </mc:AlternateContent>
        <mc:AlternateContent xmlns:mc="http://schemas.openxmlformats.org/markup-compatibility/2006">
          <mc:Choice Requires="x14">
            <control shapeId="53286" r:id="rId40" name="Check Box 38">
              <controlPr defaultSize="0" autoFill="0" autoLine="0" autoPict="0">
                <anchor moveWithCells="1">
                  <from>
                    <xdr:col>3</xdr:col>
                    <xdr:colOff>0</xdr:colOff>
                    <xdr:row>42</xdr:row>
                    <xdr:rowOff>0</xdr:rowOff>
                  </from>
                  <to>
                    <xdr:col>4</xdr:col>
                    <xdr:colOff>0</xdr:colOff>
                    <xdr:row>43</xdr:row>
                    <xdr:rowOff>19050</xdr:rowOff>
                  </to>
                </anchor>
              </controlPr>
            </control>
          </mc:Choice>
        </mc:AlternateContent>
        <mc:AlternateContent xmlns:mc="http://schemas.openxmlformats.org/markup-compatibility/2006">
          <mc:Choice Requires="x14">
            <control shapeId="53287" r:id="rId41" name="Check Box 39">
              <controlPr defaultSize="0" autoFill="0" autoLine="0" autoPict="0">
                <anchor moveWithCells="1">
                  <from>
                    <xdr:col>4</xdr:col>
                    <xdr:colOff>0</xdr:colOff>
                    <xdr:row>42</xdr:row>
                    <xdr:rowOff>0</xdr:rowOff>
                  </from>
                  <to>
                    <xdr:col>5</xdr:col>
                    <xdr:colOff>0</xdr:colOff>
                    <xdr:row>43</xdr:row>
                    <xdr:rowOff>19050</xdr:rowOff>
                  </to>
                </anchor>
              </controlPr>
            </control>
          </mc:Choice>
        </mc:AlternateContent>
        <mc:AlternateContent xmlns:mc="http://schemas.openxmlformats.org/markup-compatibility/2006">
          <mc:Choice Requires="x14">
            <control shapeId="53288" r:id="rId42" name="Check Box 40">
              <controlPr defaultSize="0" autoFill="0" autoLine="0" autoPict="0">
                <anchor moveWithCells="1">
                  <from>
                    <xdr:col>3</xdr:col>
                    <xdr:colOff>0</xdr:colOff>
                    <xdr:row>43</xdr:row>
                    <xdr:rowOff>0</xdr:rowOff>
                  </from>
                  <to>
                    <xdr:col>4</xdr:col>
                    <xdr:colOff>0</xdr:colOff>
                    <xdr:row>44</xdr:row>
                    <xdr:rowOff>19050</xdr:rowOff>
                  </to>
                </anchor>
              </controlPr>
            </control>
          </mc:Choice>
        </mc:AlternateContent>
        <mc:AlternateContent xmlns:mc="http://schemas.openxmlformats.org/markup-compatibility/2006">
          <mc:Choice Requires="x14">
            <control shapeId="53289" r:id="rId43" name="Check Box 41">
              <controlPr defaultSize="0" autoFill="0" autoLine="0" autoPict="0">
                <anchor moveWithCells="1">
                  <from>
                    <xdr:col>4</xdr:col>
                    <xdr:colOff>0</xdr:colOff>
                    <xdr:row>43</xdr:row>
                    <xdr:rowOff>0</xdr:rowOff>
                  </from>
                  <to>
                    <xdr:col>5</xdr:col>
                    <xdr:colOff>0</xdr:colOff>
                    <xdr:row>44</xdr:row>
                    <xdr:rowOff>19050</xdr:rowOff>
                  </to>
                </anchor>
              </controlPr>
            </control>
          </mc:Choice>
        </mc:AlternateContent>
        <mc:AlternateContent xmlns:mc="http://schemas.openxmlformats.org/markup-compatibility/2006">
          <mc:Choice Requires="x14">
            <control shapeId="53290" r:id="rId44" name="Check Box 42">
              <controlPr defaultSize="0" autoFill="0" autoLine="0" autoPict="0">
                <anchor moveWithCells="1">
                  <from>
                    <xdr:col>0</xdr:col>
                    <xdr:colOff>0</xdr:colOff>
                    <xdr:row>47</xdr:row>
                    <xdr:rowOff>0</xdr:rowOff>
                  </from>
                  <to>
                    <xdr:col>2</xdr:col>
                    <xdr:colOff>0</xdr:colOff>
                    <xdr:row>48</xdr:row>
                    <xdr:rowOff>19050</xdr:rowOff>
                  </to>
                </anchor>
              </controlPr>
            </control>
          </mc:Choice>
        </mc:AlternateContent>
        <mc:AlternateContent xmlns:mc="http://schemas.openxmlformats.org/markup-compatibility/2006">
          <mc:Choice Requires="x14">
            <control shapeId="53291" r:id="rId45" name="Check Box 43">
              <controlPr defaultSize="0" autoFill="0" autoLine="0" autoPict="0">
                <anchor moveWithCells="1">
                  <from>
                    <xdr:col>0</xdr:col>
                    <xdr:colOff>0</xdr:colOff>
                    <xdr:row>48</xdr:row>
                    <xdr:rowOff>0</xdr:rowOff>
                  </from>
                  <to>
                    <xdr:col>2</xdr:col>
                    <xdr:colOff>0</xdr:colOff>
                    <xdr:row>49</xdr:row>
                    <xdr:rowOff>19050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29">
    <tabColor indexed="22"/>
    <pageSetUpPr fitToPage="1"/>
  </sheetPr>
  <dimension ref="A1:O50"/>
  <sheetViews>
    <sheetView showGridLines="0" topLeftCell="B18" workbookViewId="0"/>
  </sheetViews>
  <sheetFormatPr defaultRowHeight="15" x14ac:dyDescent="0.25"/>
  <cols>
    <col min="1" max="1" width="18.140625" hidden="1" customWidth="1"/>
    <col min="2" max="2" width="20.140625" customWidth="1"/>
    <col min="3" max="3" width="17.28515625" customWidth="1"/>
    <col min="4" max="7" width="23.7109375" style="8" customWidth="1"/>
    <col min="8" max="15" width="0" hidden="1" customWidth="1"/>
  </cols>
  <sheetData>
    <row r="1" spans="1:7" hidden="1" x14ac:dyDescent="0.25">
      <c r="A1" t="s">
        <v>25</v>
      </c>
      <c r="B1" s="6" t="s">
        <v>73</v>
      </c>
      <c r="C1" s="57" t="str">
        <f>VLOOKUP(B1,werkprocessen,2,FALSE)</f>
        <v>Levert het product op</v>
      </c>
    </row>
    <row r="2" spans="1:7" hidden="1" x14ac:dyDescent="0.25">
      <c r="A2" t="s">
        <v>26</v>
      </c>
      <c r="B2" s="6">
        <f>VLOOKUP(B1,KerntakenEnWerkprocessen!B13:E27,3,FALSE)</f>
        <v>3</v>
      </c>
    </row>
    <row r="3" spans="1:7" hidden="1" x14ac:dyDescent="0.25">
      <c r="A3" t="s">
        <v>27</v>
      </c>
      <c r="B3" s="6">
        <f>VLOOKUP(B1,KerntakenEnWerkprocessen!B13:E27,4,FALSE)</f>
        <v>3</v>
      </c>
    </row>
    <row r="4" spans="1:7" hidden="1" x14ac:dyDescent="0.25">
      <c r="A4" t="s">
        <v>32</v>
      </c>
      <c r="B4" s="6">
        <f>SUM(N:N)</f>
        <v>8</v>
      </c>
      <c r="C4" s="56" t="s">
        <v>64</v>
      </c>
      <c r="D4" s="55" t="b">
        <f>IF(SUM(O:O)&gt;0,TRUE,FALSE)</f>
        <v>0</v>
      </c>
    </row>
    <row r="5" spans="1:7" hidden="1" x14ac:dyDescent="0.25">
      <c r="A5" t="s">
        <v>31</v>
      </c>
      <c r="B5" s="6">
        <f>SUM(M:M)</f>
        <v>0</v>
      </c>
    </row>
    <row r="6" spans="1:7" hidden="1" x14ac:dyDescent="0.25">
      <c r="A6" t="s">
        <v>42</v>
      </c>
      <c r="B6" s="6">
        <f>COUNTIF(N:N,1)</f>
        <v>2</v>
      </c>
    </row>
    <row r="7" spans="1:7" hidden="1" x14ac:dyDescent="0.25">
      <c r="A7" t="s">
        <v>43</v>
      </c>
      <c r="B7" s="6">
        <f>COUNTIF(N:N,2)+COUNTIF(N:N,3)</f>
        <v>2</v>
      </c>
    </row>
    <row r="8" spans="1:7" hidden="1" x14ac:dyDescent="0.25">
      <c r="A8" t="s">
        <v>34</v>
      </c>
      <c r="B8" s="6">
        <f>0.5*B4</f>
        <v>4</v>
      </c>
    </row>
    <row r="10" spans="1:7" ht="36.75" customHeight="1" x14ac:dyDescent="0.5">
      <c r="B10" s="87" t="str">
        <f>CONCATENATE(kerntaakCode,": ",kerntaakNaam)</f>
        <v>B1-K3: Levert een product op</v>
      </c>
      <c r="C10" s="87"/>
      <c r="D10" s="87"/>
      <c r="E10" s="87"/>
      <c r="F10" s="87"/>
      <c r="G10" s="87"/>
    </row>
    <row r="11" spans="1:7" ht="28.5" customHeight="1" x14ac:dyDescent="0.4">
      <c r="B11" s="88" t="str">
        <f>CONCATENATE(VLOOKUP(B1,werkprocessen,1,FALSE),": ",C1)</f>
        <v>B1-K3-W2: Levert het product op</v>
      </c>
      <c r="C11" s="88"/>
      <c r="D11" s="88"/>
      <c r="E11" s="88"/>
      <c r="F11" s="88"/>
      <c r="G11" s="88"/>
    </row>
    <row r="13" spans="1:7" ht="24" customHeight="1" x14ac:dyDescent="0.25">
      <c r="B13" s="89" t="s">
        <v>21</v>
      </c>
      <c r="C13" s="90"/>
      <c r="D13" s="90"/>
      <c r="E13" s="90"/>
      <c r="F13" s="90"/>
      <c r="G13" s="91"/>
    </row>
    <row r="14" spans="1:7" ht="22.5" customHeight="1" x14ac:dyDescent="0.25">
      <c r="B14" s="17" t="s">
        <v>16</v>
      </c>
      <c r="C14" s="11"/>
      <c r="D14" s="9"/>
      <c r="E14" s="9"/>
      <c r="F14" s="9"/>
      <c r="G14" s="13"/>
    </row>
    <row r="15" spans="1:7" ht="22.5" customHeight="1" x14ac:dyDescent="0.25">
      <c r="B15" s="17" t="s">
        <v>47</v>
      </c>
      <c r="C15" s="12"/>
      <c r="D15" s="10"/>
      <c r="E15" s="10"/>
      <c r="F15" s="10"/>
      <c r="G15" s="14"/>
    </row>
    <row r="16" spans="1:7" ht="22.5" customHeight="1" x14ac:dyDescent="0.25">
      <c r="B16" s="17" t="s">
        <v>17</v>
      </c>
      <c r="C16" s="12"/>
      <c r="D16" s="10"/>
      <c r="E16" s="10"/>
      <c r="F16" s="10"/>
      <c r="G16" s="14"/>
    </row>
    <row r="17" spans="1:15" ht="22.5" customHeight="1" x14ac:dyDescent="0.25">
      <c r="B17" s="17" t="s">
        <v>18</v>
      </c>
      <c r="C17" s="12"/>
      <c r="D17" s="10"/>
      <c r="E17" s="10"/>
      <c r="F17" s="10"/>
      <c r="G17" s="14"/>
    </row>
    <row r="18" spans="1:15" ht="22.5" customHeight="1" x14ac:dyDescent="0.25">
      <c r="B18" s="17" t="s">
        <v>19</v>
      </c>
      <c r="C18" s="12"/>
      <c r="D18" s="10"/>
      <c r="E18" s="10"/>
      <c r="F18" s="10"/>
      <c r="G18" s="14"/>
    </row>
    <row r="19" spans="1:15" ht="22.5" customHeight="1" x14ac:dyDescent="0.25">
      <c r="B19" s="17" t="s">
        <v>20</v>
      </c>
      <c r="C19" s="12"/>
      <c r="D19" s="10"/>
      <c r="E19" s="10"/>
      <c r="F19" s="10"/>
      <c r="G19" s="14"/>
    </row>
    <row r="20" spans="1:15" ht="23.25" customHeight="1" x14ac:dyDescent="0.25"/>
    <row r="21" spans="1:15" ht="24" customHeight="1" x14ac:dyDescent="0.25">
      <c r="B21" s="97" t="s">
        <v>198</v>
      </c>
      <c r="C21" s="97"/>
      <c r="D21" s="97"/>
      <c r="E21" s="97"/>
      <c r="F21" s="97"/>
      <c r="G21" s="97"/>
    </row>
    <row r="22" spans="1:15" hidden="1" x14ac:dyDescent="0.25">
      <c r="A22" t="s">
        <v>155</v>
      </c>
      <c r="B22" s="60">
        <v>3</v>
      </c>
      <c r="D22" s="8" t="s">
        <v>156</v>
      </c>
      <c r="E22" s="61" t="s">
        <v>199</v>
      </c>
      <c r="G22" s="8" t="s">
        <v>158</v>
      </c>
      <c r="H22" s="60">
        <f>COUNTIF(Beheersingsniveaus!$C$4:$C$154,$E22)</f>
        <v>4</v>
      </c>
    </row>
    <row r="23" spans="1:15" x14ac:dyDescent="0.25">
      <c r="A23" t="s">
        <v>29</v>
      </c>
      <c r="B23" s="74" t="s">
        <v>159</v>
      </c>
      <c r="C23" s="74" t="s">
        <v>3</v>
      </c>
      <c r="D23" s="74">
        <v>0</v>
      </c>
      <c r="E23" s="74">
        <v>1</v>
      </c>
      <c r="F23" s="74">
        <v>2</v>
      </c>
      <c r="G23" s="74">
        <v>3</v>
      </c>
      <c r="H23" t="s">
        <v>8</v>
      </c>
      <c r="I23" t="s">
        <v>160</v>
      </c>
      <c r="J23" t="s">
        <v>161</v>
      </c>
      <c r="K23" t="s">
        <v>162</v>
      </c>
      <c r="L23" t="s">
        <v>163</v>
      </c>
      <c r="M23" t="s">
        <v>31</v>
      </c>
      <c r="N23" t="s">
        <v>32</v>
      </c>
      <c r="O23" t="s">
        <v>164</v>
      </c>
    </row>
    <row r="24" spans="1:15" ht="249.95" customHeight="1" x14ac:dyDescent="0.25">
      <c r="A24" s="63" t="s">
        <v>200</v>
      </c>
      <c r="B24" s="75" t="str">
        <f>VLOOKUP($A24,Beheersingsniveaus!$D$4:$K$154,2,FALSE)</f>
        <v>T1</v>
      </c>
      <c r="C24" s="75" t="str">
        <f>CONCATENATE(VLOOKUP($A24,Beheersingsniveaus!$D$4:$K$154,3,FALSE),IF($H24=ja,"*",""))</f>
        <v>Product opleveren</v>
      </c>
      <c r="D24" s="76" t="str">
        <f>VLOOKUP($A24,Beheersingsniveaus!$D$4:$K$154,4,FALSE)</f>
        <v>Het product wordt niet van testomgeving naar productieomgeving gebracht, conform de functionele eisen.
Of
In de productieomgeving zijn niet dezelfde functionaliteiten beschikbaar als in de testomgeving.</v>
      </c>
      <c r="E24" s="76" t="str">
        <f>VLOOKUP($A24,Beheersingsniveaus!$D$4:$K$154,5,FALSE)</f>
        <v>Het product wordt van testomgeving naar productie-omgeving gebracht, conform de functionele eisen.
En
In de productieomgeving zijn dezelfde functionaliteiten beschikbaar als in de testomgeving.</v>
      </c>
      <c r="F24" s="64"/>
      <c r="G24" s="64"/>
      <c r="H24" s="60">
        <f>VLOOKUP($A24,Beheersingsniveaus!$D$4:$K$154,8,FALSE)</f>
        <v>0</v>
      </c>
      <c r="I24" s="60"/>
      <c r="J24" s="60"/>
      <c r="K24" s="60"/>
      <c r="L24" s="60"/>
      <c r="M24" s="60">
        <f>IF(L24=TRUE,3,IF(K24=TRUE,2,IF(J24=TRUE,1,IF(I24=TRUE,0,0))))</f>
        <v>0</v>
      </c>
      <c r="N24" s="60">
        <f>(4-COUNTBLANK(D24:G24))-1</f>
        <v>1</v>
      </c>
      <c r="O24" s="60">
        <f>COUNTA(I24:L24)</f>
        <v>0</v>
      </c>
    </row>
    <row r="25" spans="1:15" ht="114.95" customHeight="1" x14ac:dyDescent="0.25">
      <c r="A25" s="63" t="s">
        <v>201</v>
      </c>
      <c r="B25" s="75" t="str">
        <f>VLOOKUP($A25,Beheersingsniveaus!$D$4:$K$154,2,FALSE)</f>
        <v>T1</v>
      </c>
      <c r="C25" s="75" t="str">
        <f>CONCATENATE(VLOOKUP($A25,Beheersingsniveaus!$D$4:$K$154,3,FALSE),IF($H25=ja,"*",""))</f>
        <v>Goedkeuring vragen</v>
      </c>
      <c r="D25" s="76" t="str">
        <f>VLOOKUP($A25,Beheersingsniveaus!$D$4:$K$154,4,FALSE)</f>
        <v xml:space="preserve">Er wordt geen goedkeuring gevraagd van de opdrachtgever voor het opgeleverde product.
</v>
      </c>
      <c r="E25" s="76" t="str">
        <f>VLOOKUP($A25,Beheersingsniveaus!$D$4:$K$154,5,FALSE)</f>
        <v>Er wordt goedkeuring gevraagd aan de opdrachtgever voor het opgeleverde product.</v>
      </c>
      <c r="F25" s="64"/>
      <c r="G25" s="64"/>
      <c r="H25" s="60">
        <f>VLOOKUP($A25,Beheersingsniveaus!$D$4:$K$154,8,FALSE)</f>
        <v>0</v>
      </c>
      <c r="I25" s="60"/>
      <c r="J25" s="60"/>
      <c r="K25" s="60"/>
      <c r="L25" s="60"/>
      <c r="M25" s="60">
        <f>IF(L25=TRUE,3,IF(K25=TRUE,2,IF(J25=TRUE,1,IF(I25=TRUE,0,0))))</f>
        <v>0</v>
      </c>
      <c r="N25" s="60">
        <f>(4-COUNTBLANK(D25:G25))-1</f>
        <v>1</v>
      </c>
      <c r="O25" s="60">
        <f>COUNTA(I25:L25)</f>
        <v>0</v>
      </c>
    </row>
    <row r="26" spans="1:15" ht="174.95" customHeight="1" x14ac:dyDescent="0.25">
      <c r="A26" s="63" t="s">
        <v>202</v>
      </c>
      <c r="B26" s="75" t="str">
        <f>VLOOKUP($A26,Beheersingsniveaus!$D$4:$K$154,2,FALSE)</f>
        <v>T1</v>
      </c>
      <c r="C26" s="75" t="str">
        <f>CONCATENATE(VLOOKUP($A26,Beheersingsniveaus!$D$4:$K$154,3,FALSE),IF($H26=ja,"*",""))</f>
        <v xml:space="preserve">Inhoud demonstratie </v>
      </c>
      <c r="D26" s="76" t="str">
        <f>VLOOKUP($A26,Beheersingsniveaus!$D$4:$K$154,4,FALSE)</f>
        <v xml:space="preserve">Er wordt niet of nauwelijks aangetoond dat het product aansluit op de eisen uit het PvE.
Er wordt niet of nauwelijks adequaat gereageerd op de opdrachtgever.
</v>
      </c>
      <c r="E26" s="76" t="str">
        <f>VLOOKUP($A26,Beheersingsniveaus!$D$4:$K$154,5,FALSE)</f>
        <v>Er wordt minimaal aangetoond dat het product aansluit op de eisen uit het PvE.
Er wordt minimaal adequaat gereageerd op de opdrachtgever.</v>
      </c>
      <c r="F26" s="76" t="str">
        <f>VLOOKUP($A26,Beheersingsniveaus!$D$4:$K$154,6,FALSE)</f>
        <v>Er wordt grotendeels aangetoond dat het product aansluit op de eisen uit het PvE.
Er wordt grotendeels adequaat gereageerd op de opdrachtgever.</v>
      </c>
      <c r="G26" s="76" t="str">
        <f>VLOOKUP($A26,Beheersingsniveaus!$D$4:$K$154,7,FALSE)</f>
        <v>Er wordt overtuigend aangetoond dat het product aansluit op de eisen uit het PvE.
Er wordt adequaat gereageerd op de opdrachtgever.</v>
      </c>
      <c r="H26" s="60">
        <f>VLOOKUP($A26,Beheersingsniveaus!$D$4:$K$154,8,FALSE)</f>
        <v>0</v>
      </c>
      <c r="I26" s="60"/>
      <c r="J26" s="60"/>
      <c r="K26" s="60"/>
      <c r="L26" s="60"/>
      <c r="M26" s="60">
        <f>IF(L26=TRUE,3,IF(K26=TRUE,2,IF(J26=TRUE,1,IF(I26=TRUE,0,0))))</f>
        <v>0</v>
      </c>
      <c r="N26" s="60">
        <f>(4-COUNTBLANK(D26:G26))-1</f>
        <v>3</v>
      </c>
      <c r="O26" s="60">
        <f>COUNTA(I26:L26)</f>
        <v>0</v>
      </c>
    </row>
    <row r="27" spans="1:15" ht="204.95" customHeight="1" x14ac:dyDescent="0.25">
      <c r="A27" s="63" t="s">
        <v>203</v>
      </c>
      <c r="B27" s="75" t="str">
        <f>VLOOKUP($A27,Beheersingsniveaus!$D$4:$K$154,2,FALSE)</f>
        <v>T1</v>
      </c>
      <c r="C27" s="75" t="str">
        <f>CONCATENATE(VLOOKUP($A27,Beheersingsniveaus!$D$4:$K$154,3,FALSE),IF($H27=ja,"*",""))</f>
        <v xml:space="preserve">Vorm demonstratie </v>
      </c>
      <c r="D27" s="76" t="str">
        <f>VLOOKUP($A27,Beheersingsniveaus!$D$4:$K$154,4,FALSE)</f>
        <v>Het product wordt op onbegrijpelijke en niet overtuigende wijze gedemonstreerd. 
De demonstratie bevat een onduidelijke opbouw (inleiding, kern en slot).</v>
      </c>
      <c r="E27" s="76" t="str">
        <f>VLOOKUP($A27,Beheersingsniveaus!$D$4:$K$154,5,FALSE)</f>
        <v xml:space="preserve">Het product wordt op grotendeels begrijpelijke en grotendeels overtuigende wijze gedemonstreerd.
De demonstratie bevat een onduidelijke opbouw (inleiding, kern en slot).
</v>
      </c>
      <c r="F27" s="76" t="str">
        <f>VLOOKUP($A27,Beheersingsniveaus!$D$4:$K$154,6,FALSE)</f>
        <v>Het product wordt op grotendeels begrijpelijke en grotendeels overtuigende wijze gedemonstreerd. 
De demonstratie bevat een duidelijke opbouw (inleiding, kern en slot).</v>
      </c>
      <c r="G27" s="76" t="str">
        <f>VLOOKUP($A27,Beheersingsniveaus!$D$4:$K$154,7,FALSE)</f>
        <v>Het product wordt op begrijpelijke en overtuigende wijze gedemonstreerd. 
De demonstratie bevat een duidelijke opbouw (inleiding, kern en slot).</v>
      </c>
      <c r="H27" s="60">
        <f>VLOOKUP($A27,Beheersingsniveaus!$D$4:$K$154,8,FALSE)</f>
        <v>0</v>
      </c>
      <c r="I27" s="60"/>
      <c r="J27" s="60"/>
      <c r="K27" s="60"/>
      <c r="L27" s="60"/>
      <c r="M27" s="60">
        <f>IF(L27=TRUE,3,IF(K27=TRUE,2,IF(J27=TRUE,1,IF(I27=TRUE,0,0))))</f>
        <v>0</v>
      </c>
      <c r="N27" s="60">
        <f>(4-COUNTBLANK(D27:G27))-1</f>
        <v>3</v>
      </c>
      <c r="O27" s="60">
        <f>COUNTA(I27:L27)</f>
        <v>0</v>
      </c>
    </row>
    <row r="29" spans="1:15" ht="28.5" customHeight="1" x14ac:dyDescent="0.4">
      <c r="B29" s="98" t="s">
        <v>204</v>
      </c>
      <c r="C29" s="99"/>
      <c r="D29" s="99"/>
      <c r="E29" s="99"/>
      <c r="F29" s="99"/>
      <c r="G29" s="99"/>
    </row>
    <row r="30" spans="1:15" ht="26.1" customHeight="1" x14ac:dyDescent="0.25">
      <c r="B30" s="65" t="s">
        <v>189</v>
      </c>
    </row>
    <row r="31" spans="1:15" x14ac:dyDescent="0.25">
      <c r="B31" s="66" t="s">
        <v>190</v>
      </c>
      <c r="C31" s="66" t="s">
        <v>191</v>
      </c>
      <c r="D31" s="69" t="s">
        <v>192</v>
      </c>
    </row>
    <row r="32" spans="1:15" x14ac:dyDescent="0.25">
      <c r="B32" s="67">
        <v>0</v>
      </c>
      <c r="C32" s="72">
        <f t="shared" ref="C32:C40" si="0">ROUNDUP(IF(B32&lt;$B$8,4.5/$B$8*B32+1,4.5/($B$4-$B$8)*(B32-$B$8)+5.5),1)</f>
        <v>1</v>
      </c>
      <c r="D32" s="62" t="str">
        <f t="shared" ref="D32:D40" si="1">IF($B32=$B$5,"X","")</f>
        <v>X</v>
      </c>
    </row>
    <row r="33" spans="2:7" x14ac:dyDescent="0.25">
      <c r="B33" s="67">
        <v>1</v>
      </c>
      <c r="C33" s="72">
        <f t="shared" si="0"/>
        <v>2.2000000000000002</v>
      </c>
      <c r="D33" s="62" t="str">
        <f t="shared" si="1"/>
        <v/>
      </c>
    </row>
    <row r="34" spans="2:7" x14ac:dyDescent="0.25">
      <c r="B34" s="67">
        <v>2</v>
      </c>
      <c r="C34" s="72">
        <f t="shared" si="0"/>
        <v>3.3000000000000003</v>
      </c>
      <c r="D34" s="62" t="str">
        <f t="shared" si="1"/>
        <v/>
      </c>
    </row>
    <row r="35" spans="2:7" x14ac:dyDescent="0.25">
      <c r="B35" s="67">
        <v>3</v>
      </c>
      <c r="C35" s="72">
        <f t="shared" si="0"/>
        <v>4.3999999999999995</v>
      </c>
      <c r="D35" s="62" t="str">
        <f t="shared" si="1"/>
        <v/>
      </c>
    </row>
    <row r="36" spans="2:7" x14ac:dyDescent="0.25">
      <c r="B36" s="67">
        <v>4</v>
      </c>
      <c r="C36" s="72">
        <f t="shared" si="0"/>
        <v>5.5</v>
      </c>
      <c r="D36" s="62" t="str">
        <f t="shared" si="1"/>
        <v/>
      </c>
    </row>
    <row r="37" spans="2:7" x14ac:dyDescent="0.25">
      <c r="B37" s="67">
        <v>5</v>
      </c>
      <c r="C37" s="72">
        <f t="shared" si="0"/>
        <v>6.6999999999999993</v>
      </c>
      <c r="D37" s="62" t="str">
        <f t="shared" si="1"/>
        <v/>
      </c>
    </row>
    <row r="38" spans="2:7" x14ac:dyDescent="0.25">
      <c r="B38" s="67">
        <v>6</v>
      </c>
      <c r="C38" s="72">
        <f t="shared" si="0"/>
        <v>7.8</v>
      </c>
      <c r="D38" s="62" t="str">
        <f t="shared" si="1"/>
        <v/>
      </c>
    </row>
    <row r="39" spans="2:7" x14ac:dyDescent="0.25">
      <c r="B39" s="67">
        <v>7</v>
      </c>
      <c r="C39" s="72">
        <f t="shared" si="0"/>
        <v>8.9</v>
      </c>
      <c r="D39" s="62" t="str">
        <f t="shared" si="1"/>
        <v/>
      </c>
    </row>
    <row r="40" spans="2:7" x14ac:dyDescent="0.25">
      <c r="B40" s="67">
        <v>8</v>
      </c>
      <c r="C40" s="72">
        <f t="shared" si="0"/>
        <v>10</v>
      </c>
      <c r="D40" s="62" t="str">
        <f t="shared" si="1"/>
        <v/>
      </c>
    </row>
    <row r="42" spans="2:7" ht="26.1" customHeight="1" x14ac:dyDescent="0.25">
      <c r="B42" s="65" t="s">
        <v>193</v>
      </c>
    </row>
    <row r="43" spans="2:7" x14ac:dyDescent="0.25">
      <c r="B43" t="s">
        <v>194</v>
      </c>
    </row>
    <row r="44" spans="2:7" ht="35.1" customHeight="1" x14ac:dyDescent="0.25">
      <c r="B44" s="93" t="s">
        <v>195</v>
      </c>
      <c r="C44" s="93"/>
      <c r="D44" s="93"/>
      <c r="E44" s="93"/>
      <c r="F44" s="93"/>
      <c r="G44" s="93"/>
    </row>
    <row r="45" spans="2:7" ht="300" customHeight="1" x14ac:dyDescent="0.25">
      <c r="B45" s="94"/>
      <c r="C45" s="94"/>
      <c r="D45" s="94"/>
      <c r="E45" s="94"/>
      <c r="F45" s="94"/>
      <c r="G45" s="94"/>
    </row>
    <row r="47" spans="2:7" ht="26.1" customHeight="1" x14ac:dyDescent="0.25">
      <c r="B47" s="65" t="s">
        <v>196</v>
      </c>
    </row>
    <row r="48" spans="2:7" ht="24.95" customHeight="1" x14ac:dyDescent="0.25">
      <c r="B48" s="19" t="s">
        <v>197</v>
      </c>
    </row>
    <row r="49" spans="2:4" ht="90" customHeight="1" x14ac:dyDescent="0.25">
      <c r="B49" s="73" t="s">
        <v>19</v>
      </c>
      <c r="C49" s="95"/>
      <c r="D49" s="95"/>
    </row>
    <row r="50" spans="2:4" ht="90" customHeight="1" x14ac:dyDescent="0.25">
      <c r="B50" s="77" t="s">
        <v>20</v>
      </c>
      <c r="C50" s="96"/>
      <c r="D50" s="96"/>
    </row>
  </sheetData>
  <mergeCells count="9">
    <mergeCell ref="B45:G45"/>
    <mergeCell ref="C49:D49"/>
    <mergeCell ref="C50:D50"/>
    <mergeCell ref="B10:G10"/>
    <mergeCell ref="B11:G11"/>
    <mergeCell ref="B13:G13"/>
    <mergeCell ref="B21:G21"/>
    <mergeCell ref="B29:G29"/>
    <mergeCell ref="B44:G44"/>
  </mergeCells>
  <conditionalFormatting sqref="B24:G24">
    <cfRule type="expression" dxfId="11" priority="1" stopIfTrue="1">
      <formula>COUNTIF($I24:$L24,TRUE)&gt;1</formula>
    </cfRule>
  </conditionalFormatting>
  <conditionalFormatting sqref="B25:G25">
    <cfRule type="expression" dxfId="10" priority="2" stopIfTrue="1">
      <formula>COUNTIF($I25:$L25,TRUE)&gt;1</formula>
    </cfRule>
  </conditionalFormatting>
  <conditionalFormatting sqref="B26:G26">
    <cfRule type="expression" dxfId="9" priority="3" stopIfTrue="1">
      <formula>COUNTIF($I26:$L26,TRUE)&gt;1</formula>
    </cfRule>
  </conditionalFormatting>
  <conditionalFormatting sqref="B27:G27">
    <cfRule type="expression" dxfId="8" priority="4" stopIfTrue="1">
      <formula>COUNTIF($I27:$L27,TRUE)&gt;1</formula>
    </cfRule>
  </conditionalFormatting>
  <conditionalFormatting sqref="B32:C40">
    <cfRule type="expression" dxfId="7" priority="5" stopIfTrue="1">
      <formula>$D$4=FALSE</formula>
    </cfRule>
  </conditionalFormatting>
  <conditionalFormatting sqref="D31:D40">
    <cfRule type="expression" dxfId="6" priority="6"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Praktijkleren&amp;C[KW_KDcohort-EPx_B/Px-Kx_1X1]&amp;R&amp;P/&amp;N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4274" r:id="rId4" name="Check Box 2">
              <controlPr defaultSize="0" autoFill="0" autoLine="0" autoPict="0" macro="[0]!'OnClickCheckbox 24'">
                <anchor moveWithCells="1">
                  <from>
                    <xdr:col>3</xdr:col>
                    <xdr:colOff>0</xdr:colOff>
                    <xdr:row>23</xdr:row>
                    <xdr:rowOff>0</xdr:rowOff>
                  </from>
                  <to>
                    <xdr:col>4</xdr:col>
                    <xdr:colOff>0</xdr:colOff>
                    <xdr:row>23</xdr:row>
                    <xdr:rowOff>209550</xdr:rowOff>
                  </to>
                </anchor>
              </controlPr>
            </control>
          </mc:Choice>
        </mc:AlternateContent>
        <mc:AlternateContent xmlns:mc="http://schemas.openxmlformats.org/markup-compatibility/2006">
          <mc:Choice Requires="x14">
            <control shapeId="54275" r:id="rId5" name="Check Box 3">
              <controlPr defaultSize="0" autoFill="0" autoLine="0" autoPict="0" macro="[0]!'OnClickCheckbox 24'">
                <anchor moveWithCells="1">
                  <from>
                    <xdr:col>4</xdr:col>
                    <xdr:colOff>0</xdr:colOff>
                    <xdr:row>23</xdr:row>
                    <xdr:rowOff>0</xdr:rowOff>
                  </from>
                  <to>
                    <xdr:col>5</xdr:col>
                    <xdr:colOff>0</xdr:colOff>
                    <xdr:row>23</xdr:row>
                    <xdr:rowOff>209550</xdr:rowOff>
                  </to>
                </anchor>
              </controlPr>
            </control>
          </mc:Choice>
        </mc:AlternateContent>
        <mc:AlternateContent xmlns:mc="http://schemas.openxmlformats.org/markup-compatibility/2006">
          <mc:Choice Requires="x14">
            <control shapeId="54276" r:id="rId6" name="Check Box 4">
              <controlPr defaultSize="0" autoFill="0" autoLine="0" autoPict="0" macro="[0]!'OnClickCheckbox 25'">
                <anchor moveWithCells="1">
                  <from>
                    <xdr:col>3</xdr:col>
                    <xdr:colOff>0</xdr:colOff>
                    <xdr:row>24</xdr:row>
                    <xdr:rowOff>0</xdr:rowOff>
                  </from>
                  <to>
                    <xdr:col>4</xdr:col>
                    <xdr:colOff>0</xdr:colOff>
                    <xdr:row>24</xdr:row>
                    <xdr:rowOff>209550</xdr:rowOff>
                  </to>
                </anchor>
              </controlPr>
            </control>
          </mc:Choice>
        </mc:AlternateContent>
        <mc:AlternateContent xmlns:mc="http://schemas.openxmlformats.org/markup-compatibility/2006">
          <mc:Choice Requires="x14">
            <control shapeId="54277" r:id="rId7" name="Check Box 5">
              <controlPr defaultSize="0" autoFill="0" autoLine="0" autoPict="0" macro="[0]!'OnClickCheckbox 25'">
                <anchor moveWithCells="1">
                  <from>
                    <xdr:col>4</xdr:col>
                    <xdr:colOff>0</xdr:colOff>
                    <xdr:row>24</xdr:row>
                    <xdr:rowOff>0</xdr:rowOff>
                  </from>
                  <to>
                    <xdr:col>5</xdr:col>
                    <xdr:colOff>0</xdr:colOff>
                    <xdr:row>24</xdr:row>
                    <xdr:rowOff>209550</xdr:rowOff>
                  </to>
                </anchor>
              </controlPr>
            </control>
          </mc:Choice>
        </mc:AlternateContent>
        <mc:AlternateContent xmlns:mc="http://schemas.openxmlformats.org/markup-compatibility/2006">
          <mc:Choice Requires="x14">
            <control shapeId="54278" r:id="rId8" name="Check Box 6">
              <controlPr defaultSize="0" autoFill="0" autoLine="0" autoPict="0" macro="[0]!'OnClickCheckbox 26'">
                <anchor moveWithCells="1">
                  <from>
                    <xdr:col>3</xdr:col>
                    <xdr:colOff>0</xdr:colOff>
                    <xdr:row>25</xdr:row>
                    <xdr:rowOff>0</xdr:rowOff>
                  </from>
                  <to>
                    <xdr:col>4</xdr:col>
                    <xdr:colOff>0</xdr:colOff>
                    <xdr:row>25</xdr:row>
                    <xdr:rowOff>209550</xdr:rowOff>
                  </to>
                </anchor>
              </controlPr>
            </control>
          </mc:Choice>
        </mc:AlternateContent>
        <mc:AlternateContent xmlns:mc="http://schemas.openxmlformats.org/markup-compatibility/2006">
          <mc:Choice Requires="x14">
            <control shapeId="54279" r:id="rId9" name="Check Box 7">
              <controlPr defaultSize="0" autoFill="0" autoLine="0" autoPict="0" macro="[0]!'OnClickCheckbox 26'">
                <anchor moveWithCells="1">
                  <from>
                    <xdr:col>4</xdr:col>
                    <xdr:colOff>0</xdr:colOff>
                    <xdr:row>25</xdr:row>
                    <xdr:rowOff>0</xdr:rowOff>
                  </from>
                  <to>
                    <xdr:col>5</xdr:col>
                    <xdr:colOff>0</xdr:colOff>
                    <xdr:row>25</xdr:row>
                    <xdr:rowOff>209550</xdr:rowOff>
                  </to>
                </anchor>
              </controlPr>
            </control>
          </mc:Choice>
        </mc:AlternateContent>
        <mc:AlternateContent xmlns:mc="http://schemas.openxmlformats.org/markup-compatibility/2006">
          <mc:Choice Requires="x14">
            <control shapeId="54280" r:id="rId10" name="Check Box 8">
              <controlPr defaultSize="0" autoFill="0" autoLine="0" autoPict="0" macro="[0]!'OnClickCheckbox 26'">
                <anchor moveWithCells="1">
                  <from>
                    <xdr:col>5</xdr:col>
                    <xdr:colOff>0</xdr:colOff>
                    <xdr:row>25</xdr:row>
                    <xdr:rowOff>0</xdr:rowOff>
                  </from>
                  <to>
                    <xdr:col>6</xdr:col>
                    <xdr:colOff>0</xdr:colOff>
                    <xdr:row>25</xdr:row>
                    <xdr:rowOff>209550</xdr:rowOff>
                  </to>
                </anchor>
              </controlPr>
            </control>
          </mc:Choice>
        </mc:AlternateContent>
        <mc:AlternateContent xmlns:mc="http://schemas.openxmlformats.org/markup-compatibility/2006">
          <mc:Choice Requires="x14">
            <control shapeId="54281" r:id="rId11" name="Check Box 9">
              <controlPr defaultSize="0" autoFill="0" autoLine="0" autoPict="0" macro="[0]!'OnClickCheckbox 26'">
                <anchor moveWithCells="1">
                  <from>
                    <xdr:col>6</xdr:col>
                    <xdr:colOff>0</xdr:colOff>
                    <xdr:row>25</xdr:row>
                    <xdr:rowOff>0</xdr:rowOff>
                  </from>
                  <to>
                    <xdr:col>7</xdr:col>
                    <xdr:colOff>0</xdr:colOff>
                    <xdr:row>25</xdr:row>
                    <xdr:rowOff>209550</xdr:rowOff>
                  </to>
                </anchor>
              </controlPr>
            </control>
          </mc:Choice>
        </mc:AlternateContent>
        <mc:AlternateContent xmlns:mc="http://schemas.openxmlformats.org/markup-compatibility/2006">
          <mc:Choice Requires="x14">
            <control shapeId="54282" r:id="rId12" name="Check Box 10">
              <controlPr defaultSize="0" autoFill="0" autoLine="0" autoPict="0" macro="[0]!'OnClickCheckbox 27'">
                <anchor moveWithCells="1">
                  <from>
                    <xdr:col>3</xdr:col>
                    <xdr:colOff>0</xdr:colOff>
                    <xdr:row>26</xdr:row>
                    <xdr:rowOff>0</xdr:rowOff>
                  </from>
                  <to>
                    <xdr:col>4</xdr:col>
                    <xdr:colOff>0</xdr:colOff>
                    <xdr:row>26</xdr:row>
                    <xdr:rowOff>209550</xdr:rowOff>
                  </to>
                </anchor>
              </controlPr>
            </control>
          </mc:Choice>
        </mc:AlternateContent>
        <mc:AlternateContent xmlns:mc="http://schemas.openxmlformats.org/markup-compatibility/2006">
          <mc:Choice Requires="x14">
            <control shapeId="54283" r:id="rId13" name="Check Box 11">
              <controlPr defaultSize="0" autoFill="0" autoLine="0" autoPict="0" macro="[0]!'OnClickCheckbox 27'">
                <anchor moveWithCells="1">
                  <from>
                    <xdr:col>4</xdr:col>
                    <xdr:colOff>0</xdr:colOff>
                    <xdr:row>26</xdr:row>
                    <xdr:rowOff>0</xdr:rowOff>
                  </from>
                  <to>
                    <xdr:col>5</xdr:col>
                    <xdr:colOff>0</xdr:colOff>
                    <xdr:row>26</xdr:row>
                    <xdr:rowOff>209550</xdr:rowOff>
                  </to>
                </anchor>
              </controlPr>
            </control>
          </mc:Choice>
        </mc:AlternateContent>
        <mc:AlternateContent xmlns:mc="http://schemas.openxmlformats.org/markup-compatibility/2006">
          <mc:Choice Requires="x14">
            <control shapeId="54284" r:id="rId14" name="Check Box 12">
              <controlPr defaultSize="0" autoFill="0" autoLine="0" autoPict="0" macro="[0]!'OnClickCheckbox 27'">
                <anchor moveWithCells="1">
                  <from>
                    <xdr:col>5</xdr:col>
                    <xdr:colOff>0</xdr:colOff>
                    <xdr:row>26</xdr:row>
                    <xdr:rowOff>0</xdr:rowOff>
                  </from>
                  <to>
                    <xdr:col>6</xdr:col>
                    <xdr:colOff>0</xdr:colOff>
                    <xdr:row>26</xdr:row>
                    <xdr:rowOff>209550</xdr:rowOff>
                  </to>
                </anchor>
              </controlPr>
            </control>
          </mc:Choice>
        </mc:AlternateContent>
        <mc:AlternateContent xmlns:mc="http://schemas.openxmlformats.org/markup-compatibility/2006">
          <mc:Choice Requires="x14">
            <control shapeId="54285" r:id="rId15" name="Check Box 13">
              <controlPr defaultSize="0" autoFill="0" autoLine="0" autoPict="0" macro="[0]!'OnClickCheckbox 27'">
                <anchor moveWithCells="1">
                  <from>
                    <xdr:col>6</xdr:col>
                    <xdr:colOff>0</xdr:colOff>
                    <xdr:row>26</xdr:row>
                    <xdr:rowOff>0</xdr:rowOff>
                  </from>
                  <to>
                    <xdr:col>7</xdr:col>
                    <xdr:colOff>0</xdr:colOff>
                    <xdr:row>26</xdr:row>
                    <xdr:rowOff>209550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30">
    <tabColor indexed="22"/>
    <pageSetUpPr fitToPage="1"/>
  </sheetPr>
  <dimension ref="A1:O52"/>
  <sheetViews>
    <sheetView showGridLines="0" topLeftCell="B9" workbookViewId="0"/>
  </sheetViews>
  <sheetFormatPr defaultRowHeight="15" x14ac:dyDescent="0.25"/>
  <cols>
    <col min="1" max="1" width="18.140625" hidden="1" customWidth="1"/>
    <col min="2" max="2" width="20.140625" customWidth="1"/>
    <col min="3" max="3" width="17.28515625" customWidth="1"/>
    <col min="4" max="7" width="23.7109375" style="8" customWidth="1"/>
    <col min="8" max="15" width="0" hidden="1" customWidth="1"/>
  </cols>
  <sheetData>
    <row r="1" spans="1:7" hidden="1" x14ac:dyDescent="0.25">
      <c r="A1" t="s">
        <v>25</v>
      </c>
      <c r="B1" s="6" t="s">
        <v>74</v>
      </c>
      <c r="C1" s="57" t="str">
        <f>VLOOKUP(B1,werkprocessen,2,FALSE)</f>
        <v>Evalueert het opgeleverde product</v>
      </c>
    </row>
    <row r="2" spans="1:7" hidden="1" x14ac:dyDescent="0.25">
      <c r="A2" t="s">
        <v>26</v>
      </c>
      <c r="B2" s="6">
        <f>VLOOKUP(B1,KerntakenEnWerkprocessen!B13:E27,3,FALSE)</f>
        <v>4</v>
      </c>
    </row>
    <row r="3" spans="1:7" hidden="1" x14ac:dyDescent="0.25">
      <c r="A3" t="s">
        <v>27</v>
      </c>
      <c r="B3" s="6">
        <f>VLOOKUP(B1,KerntakenEnWerkprocessen!B13:E27,4,FALSE)</f>
        <v>4</v>
      </c>
    </row>
    <row r="4" spans="1:7" hidden="1" x14ac:dyDescent="0.25">
      <c r="A4" t="s">
        <v>32</v>
      </c>
      <c r="B4" s="6">
        <f>SUM(N:N)</f>
        <v>10</v>
      </c>
      <c r="C4" s="56" t="s">
        <v>64</v>
      </c>
      <c r="D4" s="55" t="b">
        <f>IF(SUM(O:O)&gt;0,TRUE,FALSE)</f>
        <v>0</v>
      </c>
    </row>
    <row r="5" spans="1:7" hidden="1" x14ac:dyDescent="0.25">
      <c r="A5" t="s">
        <v>31</v>
      </c>
      <c r="B5" s="6">
        <f>SUM(M:M)</f>
        <v>0</v>
      </c>
    </row>
    <row r="6" spans="1:7" hidden="1" x14ac:dyDescent="0.25">
      <c r="A6" t="s">
        <v>42</v>
      </c>
      <c r="B6" s="6">
        <f>COUNTIF(N:N,1)</f>
        <v>1</v>
      </c>
    </row>
    <row r="7" spans="1:7" hidden="1" x14ac:dyDescent="0.25">
      <c r="A7" t="s">
        <v>43</v>
      </c>
      <c r="B7" s="6">
        <f>COUNTIF(N:N,2)+COUNTIF(N:N,3)</f>
        <v>3</v>
      </c>
    </row>
    <row r="8" spans="1:7" hidden="1" x14ac:dyDescent="0.25">
      <c r="A8" t="s">
        <v>34</v>
      </c>
      <c r="B8" s="6">
        <f>0.5*B4</f>
        <v>5</v>
      </c>
    </row>
    <row r="10" spans="1:7" ht="36.75" customHeight="1" x14ac:dyDescent="0.5">
      <c r="B10" s="87" t="str">
        <f>CONCATENATE(kerntaakCode,": ",kerntaakNaam)</f>
        <v>B1-K3: Levert een product op</v>
      </c>
      <c r="C10" s="87"/>
      <c r="D10" s="87"/>
      <c r="E10" s="87"/>
      <c r="F10" s="87"/>
      <c r="G10" s="87"/>
    </row>
    <row r="11" spans="1:7" ht="28.5" customHeight="1" x14ac:dyDescent="0.4">
      <c r="B11" s="88" t="str">
        <f>CONCATENATE(VLOOKUP(B1,werkprocessen,1,FALSE),": ",C1)</f>
        <v>B1-K3-W3: Evalueert het opgeleverde product</v>
      </c>
      <c r="C11" s="88"/>
      <c r="D11" s="88"/>
      <c r="E11" s="88"/>
      <c r="F11" s="88"/>
      <c r="G11" s="88"/>
    </row>
    <row r="13" spans="1:7" ht="24" customHeight="1" x14ac:dyDescent="0.25">
      <c r="B13" s="89" t="s">
        <v>21</v>
      </c>
      <c r="C13" s="90"/>
      <c r="D13" s="90"/>
      <c r="E13" s="90"/>
      <c r="F13" s="90"/>
      <c r="G13" s="91"/>
    </row>
    <row r="14" spans="1:7" ht="22.5" customHeight="1" x14ac:dyDescent="0.25">
      <c r="B14" s="17" t="s">
        <v>16</v>
      </c>
      <c r="C14" s="11"/>
      <c r="D14" s="9"/>
      <c r="E14" s="9"/>
      <c r="F14" s="9"/>
      <c r="G14" s="13"/>
    </row>
    <row r="15" spans="1:7" ht="22.5" customHeight="1" x14ac:dyDescent="0.25">
      <c r="B15" s="17" t="s">
        <v>47</v>
      </c>
      <c r="C15" s="12"/>
      <c r="D15" s="10"/>
      <c r="E15" s="10"/>
      <c r="F15" s="10"/>
      <c r="G15" s="14"/>
    </row>
    <row r="16" spans="1:7" ht="22.5" customHeight="1" x14ac:dyDescent="0.25">
      <c r="B16" s="17" t="s">
        <v>17</v>
      </c>
      <c r="C16" s="12"/>
      <c r="D16" s="10"/>
      <c r="E16" s="10"/>
      <c r="F16" s="10"/>
      <c r="G16" s="14"/>
    </row>
    <row r="17" spans="1:15" ht="22.5" customHeight="1" x14ac:dyDescent="0.25">
      <c r="B17" s="17" t="s">
        <v>18</v>
      </c>
      <c r="C17" s="12"/>
      <c r="D17" s="10"/>
      <c r="E17" s="10"/>
      <c r="F17" s="10"/>
      <c r="G17" s="14"/>
    </row>
    <row r="18" spans="1:15" ht="22.5" customHeight="1" x14ac:dyDescent="0.25">
      <c r="B18" s="17" t="s">
        <v>19</v>
      </c>
      <c r="C18" s="12"/>
      <c r="D18" s="10"/>
      <c r="E18" s="10"/>
      <c r="F18" s="10"/>
      <c r="G18" s="14"/>
    </row>
    <row r="19" spans="1:15" ht="22.5" customHeight="1" x14ac:dyDescent="0.25">
      <c r="B19" s="17" t="s">
        <v>20</v>
      </c>
      <c r="C19" s="12"/>
      <c r="D19" s="10"/>
      <c r="E19" s="10"/>
      <c r="F19" s="10"/>
      <c r="G19" s="14"/>
    </row>
    <row r="20" spans="1:15" ht="23.25" customHeight="1" x14ac:dyDescent="0.25"/>
    <row r="21" spans="1:15" ht="24" customHeight="1" x14ac:dyDescent="0.25">
      <c r="B21" s="97" t="s">
        <v>205</v>
      </c>
      <c r="C21" s="97"/>
      <c r="D21" s="97"/>
      <c r="E21" s="97"/>
      <c r="F21" s="97"/>
      <c r="G21" s="97"/>
    </row>
    <row r="22" spans="1:15" hidden="1" x14ac:dyDescent="0.25">
      <c r="A22" t="s">
        <v>155</v>
      </c>
      <c r="B22" s="60">
        <v>4</v>
      </c>
      <c r="D22" s="8" t="s">
        <v>156</v>
      </c>
      <c r="E22" s="61" t="s">
        <v>206</v>
      </c>
      <c r="G22" s="8" t="s">
        <v>158</v>
      </c>
      <c r="H22" s="60">
        <f>COUNTIF(Beheersingsniveaus!$C$4:$C$154,$E22)</f>
        <v>4</v>
      </c>
    </row>
    <row r="23" spans="1:15" x14ac:dyDescent="0.25">
      <c r="A23" t="s">
        <v>29</v>
      </c>
      <c r="B23" s="74" t="s">
        <v>159</v>
      </c>
      <c r="C23" s="74" t="s">
        <v>3</v>
      </c>
      <c r="D23" s="74">
        <v>0</v>
      </c>
      <c r="E23" s="74">
        <v>1</v>
      </c>
      <c r="F23" s="74">
        <v>2</v>
      </c>
      <c r="G23" s="74">
        <v>3</v>
      </c>
      <c r="H23" t="s">
        <v>8</v>
      </c>
      <c r="I23" t="s">
        <v>160</v>
      </c>
      <c r="J23" t="s">
        <v>161</v>
      </c>
      <c r="K23" t="s">
        <v>162</v>
      </c>
      <c r="L23" t="s">
        <v>163</v>
      </c>
      <c r="M23" t="s">
        <v>31</v>
      </c>
      <c r="N23" t="s">
        <v>32</v>
      </c>
      <c r="O23" t="s">
        <v>164</v>
      </c>
    </row>
    <row r="24" spans="1:15" ht="174.95" customHeight="1" x14ac:dyDescent="0.25">
      <c r="A24" s="63" t="s">
        <v>207</v>
      </c>
      <c r="B24" s="75" t="str">
        <f>VLOOKUP($A24,Beheersingsniveaus!$D$4:$K$154,2,FALSE)</f>
        <v>T1, T2</v>
      </c>
      <c r="C24" s="75" t="str">
        <f>CONCATENATE(VLOOKUP($A24,Beheersingsniveaus!$D$4:$K$154,3,FALSE),IF($H24=ja,"*",""))</f>
        <v>Evalueren product</v>
      </c>
      <c r="D24" s="76" t="str">
        <f>VLOOKUP($A24,Beheersingsniveaus!$D$4:$K$154,4,FALSE)</f>
        <v xml:space="preserve">Geen van de betrokkenen zijn geraadpleegd over het product.
De verbeterpunten en wat goed gegaan is, zijn niet of voor een klein deel beschreven.
</v>
      </c>
      <c r="E24" s="76" t="str">
        <f>VLOOKUP($A24,Beheersingsniveaus!$D$4:$K$154,5,FALSE)</f>
        <v>Niet de juiste betrokkenen zijn geraadpleegd over het product.
De verbeterpunten en wat goed gegaan is, zijn grotendeels volledig beschreven.</v>
      </c>
      <c r="F24" s="76" t="str">
        <f>VLOOKUP($A24,Beheersingsniveaus!$D$4:$K$154,6,FALSE)</f>
        <v>De betrokkenen zijn geraadpleegd over het product.
De verbeterpunten en wat goed gegaan is, zijn grotendeels volledig beschreven.</v>
      </c>
      <c r="G24" s="76" t="str">
        <f>VLOOKUP($A24,Beheersingsniveaus!$D$4:$K$154,7,FALSE)</f>
        <v xml:space="preserve">De betrokkenen zijn geraadpleegd over het product.
De verbeterpunten en wat goed gegaan is, zijn volledig beschreven. </v>
      </c>
      <c r="H24" s="60">
        <f>VLOOKUP($A24,Beheersingsniveaus!$D$4:$K$154,8,FALSE)</f>
        <v>0</v>
      </c>
      <c r="I24" s="60"/>
      <c r="J24" s="60"/>
      <c r="K24" s="60"/>
      <c r="L24" s="60"/>
      <c r="M24" s="60">
        <f>IF(L24=TRUE,3,IF(K24=TRUE,2,IF(J24=TRUE,1,IF(I24=TRUE,0,0))))</f>
        <v>0</v>
      </c>
      <c r="N24" s="60">
        <f>(4-COUNTBLANK(D24:G24))-1</f>
        <v>3</v>
      </c>
      <c r="O24" s="60">
        <f>COUNTA(I24:L24)</f>
        <v>0</v>
      </c>
    </row>
    <row r="25" spans="1:15" ht="174.95" customHeight="1" x14ac:dyDescent="0.25">
      <c r="A25" s="63" t="s">
        <v>208</v>
      </c>
      <c r="B25" s="75" t="str">
        <f>VLOOKUP($A25,Beheersingsniveaus!$D$4:$K$154,2,FALSE)</f>
        <v>T1, T2</v>
      </c>
      <c r="C25" s="75" t="str">
        <f>CONCATENATE(VLOOKUP($A25,Beheersingsniveaus!$D$4:$K$154,3,FALSE),IF($H25=ja,"*",""))</f>
        <v>Evalueren proces</v>
      </c>
      <c r="D25" s="76" t="str">
        <f>VLOOKUP($A25,Beheersingsniveaus!$D$4:$K$154,4,FALSE)</f>
        <v xml:space="preserve">Geen van de betrokkenen zijn geraadpleegd over het proces.
De verbeterpunten en wat goed gegaan is, zijn niet of voor een klein deel beschreven.
</v>
      </c>
      <c r="E25" s="76" t="str">
        <f>VLOOKUP($A25,Beheersingsniveaus!$D$4:$K$154,5,FALSE)</f>
        <v>Niet de juiste betrokkenen zijn geraadpleegd over het proces.
De verbeterpunten en wat goed gegaan is, zijn grotendeels volledig beschreven.</v>
      </c>
      <c r="F25" s="76" t="str">
        <f>VLOOKUP($A25,Beheersingsniveaus!$D$4:$K$154,6,FALSE)</f>
        <v>De betrokkenen zijn geraadpleegd over het proces.
De verbeterpunten en wat goed gegaan is, zijn grotendeels volledig beschreven.</v>
      </c>
      <c r="G25" s="76" t="str">
        <f>VLOOKUP($A25,Beheersingsniveaus!$D$4:$K$154,7,FALSE)</f>
        <v>Alle betrokkenen zijn geraadpleegd over het proces.
De verbeterpunten en wat goed gegaan is, zijn beschreven.</v>
      </c>
      <c r="H25" s="60">
        <f>VLOOKUP($A25,Beheersingsniveaus!$D$4:$K$154,8,FALSE)</f>
        <v>0</v>
      </c>
      <c r="I25" s="60"/>
      <c r="J25" s="60"/>
      <c r="K25" s="60"/>
      <c r="L25" s="60"/>
      <c r="M25" s="60">
        <f>IF(L25=TRUE,3,IF(K25=TRUE,2,IF(J25=TRUE,1,IF(I25=TRUE,0,0))))</f>
        <v>0</v>
      </c>
      <c r="N25" s="60">
        <f>(4-COUNTBLANK(D25:G25))-1</f>
        <v>3</v>
      </c>
      <c r="O25" s="60">
        <f>COUNTA(I25:L25)</f>
        <v>0</v>
      </c>
    </row>
    <row r="26" spans="1:15" ht="84.95" customHeight="1" x14ac:dyDescent="0.25">
      <c r="A26" s="63" t="s">
        <v>209</v>
      </c>
      <c r="B26" s="75" t="str">
        <f>VLOOKUP($A26,Beheersingsniveaus!$D$4:$K$154,2,FALSE)</f>
        <v>T1, T2</v>
      </c>
      <c r="C26" s="75" t="str">
        <f>CONCATENATE(VLOOKUP($A26,Beheersingsniveaus!$D$4:$K$154,3,FALSE),IF($H26=ja,"*",""))</f>
        <v>Schrijven evaluatie</v>
      </c>
      <c r="D26" s="76" t="str">
        <f>VLOOKUP($A26,Beheersingsniveaus!$D$4:$K$154,4,FALSE)</f>
        <v xml:space="preserve">Het evaluatieverslag is onnauwkeurig en onvolledig geschreven.
</v>
      </c>
      <c r="E26" s="76" t="str">
        <f>VLOOKUP($A26,Beheersingsniveaus!$D$4:$K$154,5,FALSE)</f>
        <v>Het evaluatieverslag is voor een klein deel nauwkeurig en volledig geschreven.</v>
      </c>
      <c r="F26" s="76" t="str">
        <f>VLOOKUP($A26,Beheersingsniveaus!$D$4:$K$154,6,FALSE)</f>
        <v>Het evaluatieverslag is grotendeels nauwkeurig en volledig geschreven.</v>
      </c>
      <c r="G26" s="76" t="str">
        <f>VLOOKUP($A26,Beheersingsniveaus!$D$4:$K$154,7,FALSE)</f>
        <v>Het evaluatieverslag is nauwkeurig en volledig geschreven.</v>
      </c>
      <c r="H26" s="60">
        <f>VLOOKUP($A26,Beheersingsniveaus!$D$4:$K$154,8,FALSE)</f>
        <v>0</v>
      </c>
      <c r="I26" s="60"/>
      <c r="J26" s="60"/>
      <c r="K26" s="60"/>
      <c r="L26" s="60"/>
      <c r="M26" s="60">
        <f>IF(L26=TRUE,3,IF(K26=TRUE,2,IF(J26=TRUE,1,IF(I26=TRUE,0,0))))</f>
        <v>0</v>
      </c>
      <c r="N26" s="60">
        <f>(4-COUNTBLANK(D26:G26))-1</f>
        <v>3</v>
      </c>
      <c r="O26" s="60">
        <f>COUNTA(I26:L26)</f>
        <v>0</v>
      </c>
    </row>
    <row r="27" spans="1:15" ht="54.95" customHeight="1" x14ac:dyDescent="0.25">
      <c r="A27" s="63" t="s">
        <v>210</v>
      </c>
      <c r="B27" s="75" t="str">
        <f>VLOOKUP($A27,Beheersingsniveaus!$D$4:$K$154,2,FALSE)</f>
        <v>T3</v>
      </c>
      <c r="C27" s="75" t="str">
        <f>CONCATENATE(VLOOKUP($A27,Beheersingsniveaus!$D$4:$K$154,3,FALSE),IF($H27=ja,"*",""))</f>
        <v>Accorderen</v>
      </c>
      <c r="D27" s="76" t="str">
        <f>VLOOKUP($A27,Beheersingsniveaus!$D$4:$K$154,4,FALSE)</f>
        <v xml:space="preserve">Het evaluatieverslag is niet geaccordeerd.
</v>
      </c>
      <c r="E27" s="76" t="str">
        <f>VLOOKUP($A27,Beheersingsniveaus!$D$4:$K$154,5,FALSE)</f>
        <v>Het evaluatieverslag is geaccordeerd.</v>
      </c>
      <c r="F27" s="64"/>
      <c r="G27" s="64"/>
      <c r="H27" s="60">
        <f>VLOOKUP($A27,Beheersingsniveaus!$D$4:$K$154,8,FALSE)</f>
        <v>0</v>
      </c>
      <c r="I27" s="60"/>
      <c r="J27" s="60"/>
      <c r="K27" s="60"/>
      <c r="L27" s="60"/>
      <c r="M27" s="60">
        <f>IF(L27=TRUE,3,IF(K27=TRUE,2,IF(J27=TRUE,1,IF(I27=TRUE,0,0))))</f>
        <v>0</v>
      </c>
      <c r="N27" s="60">
        <f>(4-COUNTBLANK(D27:G27))-1</f>
        <v>1</v>
      </c>
      <c r="O27" s="60">
        <f>COUNTA(I27:L27)</f>
        <v>0</v>
      </c>
    </row>
    <row r="29" spans="1:15" ht="28.5" customHeight="1" x14ac:dyDescent="0.4">
      <c r="B29" s="98" t="s">
        <v>211</v>
      </c>
      <c r="C29" s="99"/>
      <c r="D29" s="99"/>
      <c r="E29" s="99"/>
      <c r="F29" s="99"/>
      <c r="G29" s="99"/>
    </row>
    <row r="30" spans="1:15" ht="26.1" customHeight="1" x14ac:dyDescent="0.25">
      <c r="B30" s="65" t="s">
        <v>189</v>
      </c>
    </row>
    <row r="31" spans="1:15" x14ac:dyDescent="0.25">
      <c r="B31" s="66" t="s">
        <v>190</v>
      </c>
      <c r="C31" s="66" t="s">
        <v>191</v>
      </c>
      <c r="D31" s="69" t="s">
        <v>192</v>
      </c>
    </row>
    <row r="32" spans="1:15" x14ac:dyDescent="0.25">
      <c r="B32" s="67">
        <v>0</v>
      </c>
      <c r="C32" s="72">
        <f t="shared" ref="C32:C42" si="0">ROUNDUP(IF(B32&lt;$B$8,4.5/$B$8*B32+1,4.5/($B$4-$B$8)*(B32-$B$8)+5.5),1)</f>
        <v>1</v>
      </c>
      <c r="D32" s="62" t="str">
        <f t="shared" ref="D32:D42" si="1">IF($B32=$B$5,"X","")</f>
        <v>X</v>
      </c>
    </row>
    <row r="33" spans="2:7" x14ac:dyDescent="0.25">
      <c r="B33" s="67">
        <v>1</v>
      </c>
      <c r="C33" s="72">
        <f t="shared" si="0"/>
        <v>1.9</v>
      </c>
      <c r="D33" s="62" t="str">
        <f t="shared" si="1"/>
        <v/>
      </c>
    </row>
    <row r="34" spans="2:7" x14ac:dyDescent="0.25">
      <c r="B34" s="67">
        <v>2</v>
      </c>
      <c r="C34" s="72">
        <f t="shared" si="0"/>
        <v>2.8</v>
      </c>
      <c r="D34" s="62" t="str">
        <f t="shared" si="1"/>
        <v/>
      </c>
    </row>
    <row r="35" spans="2:7" x14ac:dyDescent="0.25">
      <c r="B35" s="67">
        <v>3</v>
      </c>
      <c r="C35" s="72">
        <f t="shared" si="0"/>
        <v>3.7</v>
      </c>
      <c r="D35" s="62" t="str">
        <f t="shared" si="1"/>
        <v/>
      </c>
    </row>
    <row r="36" spans="2:7" x14ac:dyDescent="0.25">
      <c r="B36" s="67">
        <v>4</v>
      </c>
      <c r="C36" s="72">
        <f t="shared" si="0"/>
        <v>4.5999999999999996</v>
      </c>
      <c r="D36" s="62" t="str">
        <f t="shared" si="1"/>
        <v/>
      </c>
    </row>
    <row r="37" spans="2:7" x14ac:dyDescent="0.25">
      <c r="B37" s="67">
        <v>5</v>
      </c>
      <c r="C37" s="72">
        <f t="shared" si="0"/>
        <v>5.5</v>
      </c>
      <c r="D37" s="62" t="str">
        <f t="shared" si="1"/>
        <v/>
      </c>
    </row>
    <row r="38" spans="2:7" x14ac:dyDescent="0.25">
      <c r="B38" s="67">
        <v>6</v>
      </c>
      <c r="C38" s="72">
        <f t="shared" si="0"/>
        <v>6.4</v>
      </c>
      <c r="D38" s="62" t="str">
        <f t="shared" si="1"/>
        <v/>
      </c>
    </row>
    <row r="39" spans="2:7" x14ac:dyDescent="0.25">
      <c r="B39" s="67">
        <v>7</v>
      </c>
      <c r="C39" s="72">
        <f t="shared" si="0"/>
        <v>7.3</v>
      </c>
      <c r="D39" s="62" t="str">
        <f t="shared" si="1"/>
        <v/>
      </c>
    </row>
    <row r="40" spans="2:7" x14ac:dyDescent="0.25">
      <c r="B40" s="67">
        <v>8</v>
      </c>
      <c r="C40" s="72">
        <f t="shared" si="0"/>
        <v>8.1999999999999993</v>
      </c>
      <c r="D40" s="62" t="str">
        <f t="shared" si="1"/>
        <v/>
      </c>
    </row>
    <row r="41" spans="2:7" x14ac:dyDescent="0.25">
      <c r="B41" s="67">
        <v>9</v>
      </c>
      <c r="C41" s="72">
        <f t="shared" si="0"/>
        <v>9.1</v>
      </c>
      <c r="D41" s="62" t="str">
        <f t="shared" si="1"/>
        <v/>
      </c>
    </row>
    <row r="42" spans="2:7" x14ac:dyDescent="0.25">
      <c r="B42" s="67">
        <v>10</v>
      </c>
      <c r="C42" s="72">
        <f t="shared" si="0"/>
        <v>10</v>
      </c>
      <c r="D42" s="62" t="str">
        <f t="shared" si="1"/>
        <v/>
      </c>
    </row>
    <row r="44" spans="2:7" ht="26.1" customHeight="1" x14ac:dyDescent="0.25">
      <c r="B44" s="65" t="s">
        <v>193</v>
      </c>
    </row>
    <row r="45" spans="2:7" x14ac:dyDescent="0.25">
      <c r="B45" t="s">
        <v>194</v>
      </c>
    </row>
    <row r="46" spans="2:7" ht="35.1" customHeight="1" x14ac:dyDescent="0.25">
      <c r="B46" s="93" t="s">
        <v>195</v>
      </c>
      <c r="C46" s="93"/>
      <c r="D46" s="93"/>
      <c r="E46" s="93"/>
      <c r="F46" s="93"/>
      <c r="G46" s="93"/>
    </row>
    <row r="47" spans="2:7" ht="300" customHeight="1" x14ac:dyDescent="0.25">
      <c r="B47" s="94"/>
      <c r="C47" s="94"/>
      <c r="D47" s="94"/>
      <c r="E47" s="94"/>
      <c r="F47" s="94"/>
      <c r="G47" s="94"/>
    </row>
    <row r="49" spans="2:4" ht="26.1" customHeight="1" x14ac:dyDescent="0.25">
      <c r="B49" s="65" t="s">
        <v>196</v>
      </c>
    </row>
    <row r="50" spans="2:4" ht="24.95" customHeight="1" x14ac:dyDescent="0.25">
      <c r="B50" s="19" t="s">
        <v>197</v>
      </c>
    </row>
    <row r="51" spans="2:4" ht="90" customHeight="1" x14ac:dyDescent="0.25">
      <c r="B51" s="73" t="s">
        <v>19</v>
      </c>
      <c r="C51" s="95"/>
      <c r="D51" s="95"/>
    </row>
    <row r="52" spans="2:4" ht="90" customHeight="1" x14ac:dyDescent="0.25">
      <c r="B52" s="77" t="s">
        <v>20</v>
      </c>
      <c r="C52" s="96"/>
      <c r="D52" s="96"/>
    </row>
  </sheetData>
  <mergeCells count="9">
    <mergeCell ref="B47:G47"/>
    <mergeCell ref="C51:D51"/>
    <mergeCell ref="C52:D52"/>
    <mergeCell ref="B10:G10"/>
    <mergeCell ref="B11:G11"/>
    <mergeCell ref="B13:G13"/>
    <mergeCell ref="B21:G21"/>
    <mergeCell ref="B29:G29"/>
    <mergeCell ref="B46:G46"/>
  </mergeCells>
  <conditionalFormatting sqref="B24:G24">
    <cfRule type="expression" dxfId="5" priority="1" stopIfTrue="1">
      <formula>COUNTIF($I24:$L24,TRUE)&gt;1</formula>
    </cfRule>
  </conditionalFormatting>
  <conditionalFormatting sqref="B25:G25">
    <cfRule type="expression" dxfId="4" priority="2" stopIfTrue="1">
      <formula>COUNTIF($I25:$L25,TRUE)&gt;1</formula>
    </cfRule>
  </conditionalFormatting>
  <conditionalFormatting sqref="B26:G26">
    <cfRule type="expression" dxfId="3" priority="3" stopIfTrue="1">
      <formula>COUNTIF($I26:$L26,TRUE)&gt;1</formula>
    </cfRule>
  </conditionalFormatting>
  <conditionalFormatting sqref="B27:G27">
    <cfRule type="expression" dxfId="2" priority="4" stopIfTrue="1">
      <formula>COUNTIF($I27:$L27,TRUE)&gt;1</formula>
    </cfRule>
  </conditionalFormatting>
  <conditionalFormatting sqref="B32:C42">
    <cfRule type="expression" dxfId="1" priority="5" stopIfTrue="1">
      <formula>$D$4=FALSE</formula>
    </cfRule>
  </conditionalFormatting>
  <conditionalFormatting sqref="D31:D42">
    <cfRule type="expression" dxfId="0" priority="6"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Praktijkleren&amp;C[KW_KDcohort-EPx_B/Px-Kx_1X1]&amp;R&amp;P/&amp;N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5298" r:id="rId4" name="Check Box 2">
              <controlPr defaultSize="0" autoFill="0" autoLine="0" autoPict="0" macro="[0]!'OnClickCheckbox 24'">
                <anchor moveWithCells="1">
                  <from>
                    <xdr:col>3</xdr:col>
                    <xdr:colOff>0</xdr:colOff>
                    <xdr:row>23</xdr:row>
                    <xdr:rowOff>0</xdr:rowOff>
                  </from>
                  <to>
                    <xdr:col>4</xdr:col>
                    <xdr:colOff>0</xdr:colOff>
                    <xdr:row>23</xdr:row>
                    <xdr:rowOff>209550</xdr:rowOff>
                  </to>
                </anchor>
              </controlPr>
            </control>
          </mc:Choice>
        </mc:AlternateContent>
        <mc:AlternateContent xmlns:mc="http://schemas.openxmlformats.org/markup-compatibility/2006">
          <mc:Choice Requires="x14">
            <control shapeId="55299" r:id="rId5" name="Check Box 3">
              <controlPr defaultSize="0" autoFill="0" autoLine="0" autoPict="0" macro="[0]!'OnClickCheckbox 24'">
                <anchor moveWithCells="1">
                  <from>
                    <xdr:col>4</xdr:col>
                    <xdr:colOff>0</xdr:colOff>
                    <xdr:row>23</xdr:row>
                    <xdr:rowOff>0</xdr:rowOff>
                  </from>
                  <to>
                    <xdr:col>5</xdr:col>
                    <xdr:colOff>0</xdr:colOff>
                    <xdr:row>23</xdr:row>
                    <xdr:rowOff>209550</xdr:rowOff>
                  </to>
                </anchor>
              </controlPr>
            </control>
          </mc:Choice>
        </mc:AlternateContent>
        <mc:AlternateContent xmlns:mc="http://schemas.openxmlformats.org/markup-compatibility/2006">
          <mc:Choice Requires="x14">
            <control shapeId="55300" r:id="rId6" name="Check Box 4">
              <controlPr defaultSize="0" autoFill="0" autoLine="0" autoPict="0" macro="[0]!'OnClickCheckbox 24'">
                <anchor moveWithCells="1">
                  <from>
                    <xdr:col>5</xdr:col>
                    <xdr:colOff>0</xdr:colOff>
                    <xdr:row>23</xdr:row>
                    <xdr:rowOff>0</xdr:rowOff>
                  </from>
                  <to>
                    <xdr:col>6</xdr:col>
                    <xdr:colOff>0</xdr:colOff>
                    <xdr:row>23</xdr:row>
                    <xdr:rowOff>209550</xdr:rowOff>
                  </to>
                </anchor>
              </controlPr>
            </control>
          </mc:Choice>
        </mc:AlternateContent>
        <mc:AlternateContent xmlns:mc="http://schemas.openxmlformats.org/markup-compatibility/2006">
          <mc:Choice Requires="x14">
            <control shapeId="55301" r:id="rId7" name="Check Box 5">
              <controlPr defaultSize="0" autoFill="0" autoLine="0" autoPict="0" macro="[0]!'OnClickCheckbox 24'">
                <anchor moveWithCells="1">
                  <from>
                    <xdr:col>6</xdr:col>
                    <xdr:colOff>0</xdr:colOff>
                    <xdr:row>23</xdr:row>
                    <xdr:rowOff>0</xdr:rowOff>
                  </from>
                  <to>
                    <xdr:col>7</xdr:col>
                    <xdr:colOff>0</xdr:colOff>
                    <xdr:row>23</xdr:row>
                    <xdr:rowOff>209550</xdr:rowOff>
                  </to>
                </anchor>
              </controlPr>
            </control>
          </mc:Choice>
        </mc:AlternateContent>
        <mc:AlternateContent xmlns:mc="http://schemas.openxmlformats.org/markup-compatibility/2006">
          <mc:Choice Requires="x14">
            <control shapeId="55302" r:id="rId8" name="Check Box 6">
              <controlPr defaultSize="0" autoFill="0" autoLine="0" autoPict="0" macro="[0]!'OnClickCheckbox 25'">
                <anchor moveWithCells="1">
                  <from>
                    <xdr:col>3</xdr:col>
                    <xdr:colOff>0</xdr:colOff>
                    <xdr:row>24</xdr:row>
                    <xdr:rowOff>0</xdr:rowOff>
                  </from>
                  <to>
                    <xdr:col>4</xdr:col>
                    <xdr:colOff>0</xdr:colOff>
                    <xdr:row>24</xdr:row>
                    <xdr:rowOff>209550</xdr:rowOff>
                  </to>
                </anchor>
              </controlPr>
            </control>
          </mc:Choice>
        </mc:AlternateContent>
        <mc:AlternateContent xmlns:mc="http://schemas.openxmlformats.org/markup-compatibility/2006">
          <mc:Choice Requires="x14">
            <control shapeId="55303" r:id="rId9" name="Check Box 7">
              <controlPr defaultSize="0" autoFill="0" autoLine="0" autoPict="0" macro="[0]!'OnClickCheckbox 25'">
                <anchor moveWithCells="1">
                  <from>
                    <xdr:col>4</xdr:col>
                    <xdr:colOff>0</xdr:colOff>
                    <xdr:row>24</xdr:row>
                    <xdr:rowOff>0</xdr:rowOff>
                  </from>
                  <to>
                    <xdr:col>5</xdr:col>
                    <xdr:colOff>0</xdr:colOff>
                    <xdr:row>24</xdr:row>
                    <xdr:rowOff>209550</xdr:rowOff>
                  </to>
                </anchor>
              </controlPr>
            </control>
          </mc:Choice>
        </mc:AlternateContent>
        <mc:AlternateContent xmlns:mc="http://schemas.openxmlformats.org/markup-compatibility/2006">
          <mc:Choice Requires="x14">
            <control shapeId="55304" r:id="rId10" name="Check Box 8">
              <controlPr defaultSize="0" autoFill="0" autoLine="0" autoPict="0" macro="[0]!'OnClickCheckbox 25'">
                <anchor moveWithCells="1">
                  <from>
                    <xdr:col>5</xdr:col>
                    <xdr:colOff>0</xdr:colOff>
                    <xdr:row>24</xdr:row>
                    <xdr:rowOff>0</xdr:rowOff>
                  </from>
                  <to>
                    <xdr:col>6</xdr:col>
                    <xdr:colOff>0</xdr:colOff>
                    <xdr:row>24</xdr:row>
                    <xdr:rowOff>209550</xdr:rowOff>
                  </to>
                </anchor>
              </controlPr>
            </control>
          </mc:Choice>
        </mc:AlternateContent>
        <mc:AlternateContent xmlns:mc="http://schemas.openxmlformats.org/markup-compatibility/2006">
          <mc:Choice Requires="x14">
            <control shapeId="55305" r:id="rId11" name="Check Box 9">
              <controlPr defaultSize="0" autoFill="0" autoLine="0" autoPict="0" macro="[0]!'OnClickCheckbox 25'">
                <anchor moveWithCells="1">
                  <from>
                    <xdr:col>6</xdr:col>
                    <xdr:colOff>0</xdr:colOff>
                    <xdr:row>24</xdr:row>
                    <xdr:rowOff>0</xdr:rowOff>
                  </from>
                  <to>
                    <xdr:col>7</xdr:col>
                    <xdr:colOff>0</xdr:colOff>
                    <xdr:row>24</xdr:row>
                    <xdr:rowOff>209550</xdr:rowOff>
                  </to>
                </anchor>
              </controlPr>
            </control>
          </mc:Choice>
        </mc:AlternateContent>
        <mc:AlternateContent xmlns:mc="http://schemas.openxmlformats.org/markup-compatibility/2006">
          <mc:Choice Requires="x14">
            <control shapeId="55306" r:id="rId12" name="Check Box 10">
              <controlPr defaultSize="0" autoFill="0" autoLine="0" autoPict="0" macro="[0]!'OnClickCheckbox 26'">
                <anchor moveWithCells="1">
                  <from>
                    <xdr:col>3</xdr:col>
                    <xdr:colOff>0</xdr:colOff>
                    <xdr:row>25</xdr:row>
                    <xdr:rowOff>0</xdr:rowOff>
                  </from>
                  <to>
                    <xdr:col>4</xdr:col>
                    <xdr:colOff>0</xdr:colOff>
                    <xdr:row>25</xdr:row>
                    <xdr:rowOff>209550</xdr:rowOff>
                  </to>
                </anchor>
              </controlPr>
            </control>
          </mc:Choice>
        </mc:AlternateContent>
        <mc:AlternateContent xmlns:mc="http://schemas.openxmlformats.org/markup-compatibility/2006">
          <mc:Choice Requires="x14">
            <control shapeId="55307" r:id="rId13" name="Check Box 11">
              <controlPr defaultSize="0" autoFill="0" autoLine="0" autoPict="0" macro="[0]!'OnClickCheckbox 26'">
                <anchor moveWithCells="1">
                  <from>
                    <xdr:col>4</xdr:col>
                    <xdr:colOff>0</xdr:colOff>
                    <xdr:row>25</xdr:row>
                    <xdr:rowOff>0</xdr:rowOff>
                  </from>
                  <to>
                    <xdr:col>5</xdr:col>
                    <xdr:colOff>0</xdr:colOff>
                    <xdr:row>25</xdr:row>
                    <xdr:rowOff>209550</xdr:rowOff>
                  </to>
                </anchor>
              </controlPr>
            </control>
          </mc:Choice>
        </mc:AlternateContent>
        <mc:AlternateContent xmlns:mc="http://schemas.openxmlformats.org/markup-compatibility/2006">
          <mc:Choice Requires="x14">
            <control shapeId="55308" r:id="rId14" name="Check Box 12">
              <controlPr defaultSize="0" autoFill="0" autoLine="0" autoPict="0" macro="[0]!'OnClickCheckbox 26'">
                <anchor moveWithCells="1">
                  <from>
                    <xdr:col>5</xdr:col>
                    <xdr:colOff>0</xdr:colOff>
                    <xdr:row>25</xdr:row>
                    <xdr:rowOff>0</xdr:rowOff>
                  </from>
                  <to>
                    <xdr:col>6</xdr:col>
                    <xdr:colOff>0</xdr:colOff>
                    <xdr:row>25</xdr:row>
                    <xdr:rowOff>209550</xdr:rowOff>
                  </to>
                </anchor>
              </controlPr>
            </control>
          </mc:Choice>
        </mc:AlternateContent>
        <mc:AlternateContent xmlns:mc="http://schemas.openxmlformats.org/markup-compatibility/2006">
          <mc:Choice Requires="x14">
            <control shapeId="55309" r:id="rId15" name="Check Box 13">
              <controlPr defaultSize="0" autoFill="0" autoLine="0" autoPict="0" macro="[0]!'OnClickCheckbox 26'">
                <anchor moveWithCells="1">
                  <from>
                    <xdr:col>6</xdr:col>
                    <xdr:colOff>0</xdr:colOff>
                    <xdr:row>25</xdr:row>
                    <xdr:rowOff>0</xdr:rowOff>
                  </from>
                  <to>
                    <xdr:col>7</xdr:col>
                    <xdr:colOff>0</xdr:colOff>
                    <xdr:row>25</xdr:row>
                    <xdr:rowOff>209550</xdr:rowOff>
                  </to>
                </anchor>
              </controlPr>
            </control>
          </mc:Choice>
        </mc:AlternateContent>
        <mc:AlternateContent xmlns:mc="http://schemas.openxmlformats.org/markup-compatibility/2006">
          <mc:Choice Requires="x14">
            <control shapeId="55310" r:id="rId16" name="Check Box 14">
              <controlPr defaultSize="0" autoFill="0" autoLine="0" autoPict="0" macro="[0]!'OnClickCheckbox 27'">
                <anchor moveWithCells="1">
                  <from>
                    <xdr:col>3</xdr:col>
                    <xdr:colOff>0</xdr:colOff>
                    <xdr:row>26</xdr:row>
                    <xdr:rowOff>0</xdr:rowOff>
                  </from>
                  <to>
                    <xdr:col>4</xdr:col>
                    <xdr:colOff>0</xdr:colOff>
                    <xdr:row>26</xdr:row>
                    <xdr:rowOff>209550</xdr:rowOff>
                  </to>
                </anchor>
              </controlPr>
            </control>
          </mc:Choice>
        </mc:AlternateContent>
        <mc:AlternateContent xmlns:mc="http://schemas.openxmlformats.org/markup-compatibility/2006">
          <mc:Choice Requires="x14">
            <control shapeId="55311" r:id="rId17" name="Check Box 15">
              <controlPr defaultSize="0" autoFill="0" autoLine="0" autoPict="0" macro="[0]!'OnClickCheckbox 27'">
                <anchor moveWithCells="1">
                  <from>
                    <xdr:col>4</xdr:col>
                    <xdr:colOff>0</xdr:colOff>
                    <xdr:row>26</xdr:row>
                    <xdr:rowOff>0</xdr:rowOff>
                  </from>
                  <to>
                    <xdr:col>5</xdr:col>
                    <xdr:colOff>0</xdr:colOff>
                    <xdr:row>26</xdr:row>
                    <xdr:rowOff>209550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5CCAB4EB401C54985CB2C427A8432C4" ma:contentTypeVersion="7" ma:contentTypeDescription="Een nieuw document maken." ma:contentTypeScope="" ma:versionID="41a62be4613902a96f2e0d7b4adc0145">
  <xsd:schema xmlns:xsd="http://www.w3.org/2001/XMLSchema" xmlns:xs="http://www.w3.org/2001/XMLSchema" xmlns:p="http://schemas.microsoft.com/office/2006/metadata/properties" xmlns:ns2="688e76d9-d2b2-43de-9619-8a3cb839a6cf" xmlns:ns3="0ff50e7e-cb9d-4922-9d3b-bee441d6edb5" targetNamespace="http://schemas.microsoft.com/office/2006/metadata/properties" ma:root="true" ma:fieldsID="a11541a7abfba63e1d114d1d314d08c9" ns2:_="" ns3:_="">
    <xsd:import namespace="688e76d9-d2b2-43de-9619-8a3cb839a6cf"/>
    <xsd:import namespace="0ff50e7e-cb9d-4922-9d3b-bee441d6edb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88e76d9-d2b2-43de-9619-8a3cb839a6c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OCR" ma:index="12" nillable="true" ma:displayName="MediaServiceOCR"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0ff50e7e-cb9d-4922-9d3b-bee441d6edb5" elementFormDefault="qualified">
    <xsd:import namespace="http://schemas.microsoft.com/office/2006/documentManagement/types"/>
    <xsd:import namespace="http://schemas.microsoft.com/office/infopath/2007/PartnerControls"/>
    <xsd:element name="SharedWithUsers" ma:index="13"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Gedeeld met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76FF801-9C20-4B32-A3E2-67A384B73597}"/>
</file>

<file path=customXml/itemProps2.xml><?xml version="1.0" encoding="utf-8"?>
<ds:datastoreItem xmlns:ds="http://schemas.openxmlformats.org/officeDocument/2006/customXml" ds:itemID="{DF5891E7-4CC3-4AB0-8E3D-99D20C247293}"/>
</file>

<file path=customXml/itemProps3.xml><?xml version="1.0" encoding="utf-8"?>
<ds:datastoreItem xmlns:ds="http://schemas.openxmlformats.org/officeDocument/2006/customXml" ds:itemID="{23720137-1C86-4ED0-A73B-9C733533FEE1}"/>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4</vt:i4>
      </vt:variant>
      <vt:variant>
        <vt:lpstr>Benoemde bereiken</vt:lpstr>
      </vt:variant>
      <vt:variant>
        <vt:i4>18</vt:i4>
      </vt:variant>
    </vt:vector>
  </HeadingPairs>
  <TitlesOfParts>
    <vt:vector size="22" baseType="lpstr">
      <vt:lpstr>Voorblad</vt:lpstr>
      <vt:lpstr>B1-K3-W1</vt:lpstr>
      <vt:lpstr>B1-K3-W2</vt:lpstr>
      <vt:lpstr>B1-K3-W3</vt:lpstr>
      <vt:lpstr>'B1-K3-W1'!Afdrukbereik</vt:lpstr>
      <vt:lpstr>'B1-K3-W2'!Afdrukbereik</vt:lpstr>
      <vt:lpstr>'B1-K3-W3'!Afdrukbereik</vt:lpstr>
      <vt:lpstr>SjabloonVoorblad!Afdrukbereik</vt:lpstr>
      <vt:lpstr>SjabloonWerkproces!Afdrukbereik</vt:lpstr>
      <vt:lpstr>Voorblad!Afdrukbereik</vt:lpstr>
      <vt:lpstr>beheersingsniveaus</vt:lpstr>
      <vt:lpstr>copyrightText</vt:lpstr>
      <vt:lpstr>debug</vt:lpstr>
      <vt:lpstr>examencode</vt:lpstr>
      <vt:lpstr>ja</vt:lpstr>
      <vt:lpstr>kerntaakCode</vt:lpstr>
      <vt:lpstr>kerntaakNaam</vt:lpstr>
      <vt:lpstr>layoutGreyedOut</vt:lpstr>
      <vt:lpstr>nee</vt:lpstr>
      <vt:lpstr>KerntakenEnWerkprocessen!OLE_LINK1</vt:lpstr>
      <vt:lpstr>showHandtekeningKandidaat</vt:lpstr>
      <vt:lpstr>werkprocessen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Digitaal beoordelingsformulier</dc:title>
  <dc:creator>Paul Ootjers</dc:creator>
  <cp:lastModifiedBy>Irene Weide</cp:lastModifiedBy>
  <cp:lastPrinted>2016-07-21T08:14:17Z</cp:lastPrinted>
  <dcterms:created xsi:type="dcterms:W3CDTF">2015-10-30T11:14:52Z</dcterms:created>
  <dcterms:modified xsi:type="dcterms:W3CDTF">2017-11-13T12:25:05Z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0x010100B5CCAB4EB401C54985CB2C427A8432C4</vt:lpwstr>
  </property>
</Properties>
</file>